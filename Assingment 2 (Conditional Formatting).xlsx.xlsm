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/>
  <workbookPr codeName="ThisWorkbook"/>
  <mc:AlternateContent xmlns:mc="http://schemas.openxmlformats.org/markup-compatibility/2006">
    <mc:Choice Requires="x15">
      <x15ac:absPath xmlns:x15ac="http://schemas.microsoft.com/office/spreadsheetml/2010/11/ac" url="D:\Data Science\MY RECORDING\EXCEL\ExCeL BaTcH\ASSINGMENTS\"/>
    </mc:Choice>
  </mc:AlternateContent>
  <xr:revisionPtr revIDLastSave="0" documentId="13_ncr:1_{43CAC0E3-BA41-4699-BBFA-C14D916606A4}" xr6:coauthVersionLast="47" xr6:coauthVersionMax="47" xr10:uidLastSave="{00000000-0000-0000-0000-000000000000}"/>
  <bookViews>
    <workbookView xWindow="-108" yWindow="-108" windowWidth="23256" windowHeight="12456" tabRatio="719" firstSheet="18" activeTab="30" xr2:uid="{00000000-000D-0000-FFFF-FFFF00000000}"/>
  </bookViews>
  <sheets>
    <sheet name="Ex 1 " sheetId="2" r:id="rId1"/>
    <sheet name="Ans 1" sheetId="42" r:id="rId2"/>
    <sheet name="Ex 2" sheetId="3" r:id="rId3"/>
    <sheet name="Ans 2" sheetId="43" r:id="rId4"/>
    <sheet name="Ex 3" sheetId="44" r:id="rId5"/>
    <sheet name="Ans 3" sheetId="4" r:id="rId6"/>
    <sheet name="Ex 4  " sheetId="45" r:id="rId7"/>
    <sheet name="Ans 4" sheetId="51" r:id="rId8"/>
    <sheet name="Ex 5" sheetId="53" r:id="rId9"/>
    <sheet name="Ans 5" sheetId="52" r:id="rId10"/>
    <sheet name="Ex 6 " sheetId="47" r:id="rId11"/>
    <sheet name="Ans 6" sheetId="48" r:id="rId12"/>
    <sheet name="Ex 7" sheetId="9" r:id="rId13"/>
    <sheet name="Ans 7 " sheetId="49" r:id="rId14"/>
    <sheet name="Ex 8 " sheetId="50" r:id="rId15"/>
    <sheet name="Ans 8 " sheetId="10" r:id="rId16"/>
    <sheet name="Ex 9" sheetId="54" r:id="rId17"/>
    <sheet name="Ans 9" sheetId="11" r:id="rId18"/>
    <sheet name="Ex 10" sheetId="55" r:id="rId19"/>
    <sheet name="Ans 10" sheetId="12" r:id="rId20"/>
    <sheet name="Ex 11" sheetId="56" r:id="rId21"/>
    <sheet name="Ans 11" sheetId="14" r:id="rId22"/>
    <sheet name="Ex 12" sheetId="57" r:id="rId23"/>
    <sheet name="Ans 12" sheetId="15" r:id="rId24"/>
    <sheet name="Ex 13" sheetId="59" r:id="rId25"/>
    <sheet name="Ans 13" sheetId="60" r:id="rId26"/>
    <sheet name="Ex 14" sheetId="61" r:id="rId27"/>
    <sheet name="Refrence Sheet 14" sheetId="62" r:id="rId28"/>
    <sheet name="Ans 14" sheetId="63" r:id="rId29"/>
    <sheet name="Ex 15" sheetId="64" r:id="rId30"/>
    <sheet name="Ans 15" sheetId="66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4" i="66" l="1"/>
  <c r="G53" i="66"/>
  <c r="G52" i="66"/>
  <c r="G51" i="66"/>
  <c r="G50" i="66"/>
  <c r="G49" i="66"/>
  <c r="G48" i="66"/>
  <c r="G47" i="66"/>
  <c r="G46" i="66"/>
  <c r="G45" i="66"/>
  <c r="G44" i="66"/>
  <c r="G43" i="66"/>
  <c r="G42" i="66"/>
  <c r="G41" i="66"/>
  <c r="G40" i="66"/>
  <c r="G39" i="66"/>
  <c r="G38" i="66"/>
  <c r="G37" i="66"/>
  <c r="G36" i="66"/>
  <c r="G35" i="66"/>
  <c r="G34" i="66"/>
  <c r="G33" i="66"/>
  <c r="G32" i="66"/>
  <c r="G31" i="66"/>
  <c r="G30" i="66"/>
  <c r="G29" i="66"/>
  <c r="G28" i="66"/>
  <c r="G27" i="66"/>
  <c r="G26" i="66"/>
  <c r="G25" i="66"/>
  <c r="G24" i="66"/>
  <c r="G23" i="66"/>
  <c r="G22" i="66"/>
  <c r="G21" i="66"/>
  <c r="G20" i="66"/>
  <c r="G19" i="66"/>
  <c r="G18" i="66"/>
  <c r="G17" i="66"/>
  <c r="G16" i="66"/>
  <c r="G15" i="66"/>
  <c r="G14" i="66"/>
  <c r="G13" i="66"/>
  <c r="G12" i="66"/>
  <c r="G11" i="66"/>
  <c r="G10" i="66"/>
  <c r="G9" i="66"/>
  <c r="G8" i="66"/>
  <c r="E10" i="56"/>
  <c r="E9" i="56"/>
  <c r="E8" i="56"/>
  <c r="E7" i="56"/>
  <c r="E6" i="56"/>
  <c r="E5" i="56"/>
  <c r="E4" i="56"/>
  <c r="E4" i="14"/>
  <c r="I25" i="48"/>
  <c r="E20" i="49"/>
  <c r="E19" i="49"/>
  <c r="E18" i="49"/>
  <c r="E17" i="49"/>
  <c r="E16" i="49"/>
  <c r="E15" i="49"/>
  <c r="E14" i="49"/>
  <c r="I30" i="48"/>
  <c r="I29" i="48"/>
  <c r="I28" i="48"/>
  <c r="I27" i="48"/>
  <c r="I26" i="48"/>
  <c r="E5" i="14" l="1"/>
  <c r="E6" i="14"/>
  <c r="E7" i="14"/>
  <c r="E8" i="14"/>
  <c r="E9" i="14"/>
  <c r="E10" i="14"/>
</calcChain>
</file>

<file path=xl/sharedStrings.xml><?xml version="1.0" encoding="utf-8"?>
<sst xmlns="http://schemas.openxmlformats.org/spreadsheetml/2006/main" count="1397" uniqueCount="124">
  <si>
    <t>Date</t>
  </si>
  <si>
    <t>Company</t>
  </si>
  <si>
    <t>Product</t>
  </si>
  <si>
    <t>Net Sales</t>
  </si>
  <si>
    <t>Cost</t>
  </si>
  <si>
    <t>Quad</t>
  </si>
  <si>
    <t>Tri Fly</t>
  </si>
  <si>
    <t>V-Rang</t>
  </si>
  <si>
    <t>Carlota</t>
  </si>
  <si>
    <t>Darnell</t>
  </si>
  <si>
    <t>Bellen</t>
  </si>
  <si>
    <t>Yanaki</t>
  </si>
  <si>
    <t>Mt. Fun</t>
  </si>
  <si>
    <t>Sunset</t>
  </si>
  <si>
    <t>Aspen</t>
  </si>
  <si>
    <t>Crest</t>
  </si>
  <si>
    <t>Fun Fly</t>
  </si>
  <si>
    <t>FastFly</t>
  </si>
  <si>
    <t>Conditional Formatting to cells: A logical test that comes out TRUE or FALSE.</t>
  </si>
  <si>
    <t>TRUE = the cell gets the formatting</t>
  </si>
  <si>
    <t>FALSE = the cell does NOT get the formatting</t>
  </si>
  <si>
    <t>Top Bottom Rules for numbers</t>
  </si>
  <si>
    <t>Format whole column</t>
  </si>
  <si>
    <t>Data Bars = Ranks the numbers with length of bar</t>
  </si>
  <si>
    <t>Format whole row based on date</t>
  </si>
  <si>
    <t>Format number less than zero: 3 methods</t>
  </si>
  <si>
    <t>Invoice</t>
  </si>
  <si>
    <t>Gel Booms</t>
  </si>
  <si>
    <t>Colorad Boom</t>
  </si>
  <si>
    <t>Top 3</t>
  </si>
  <si>
    <t>Highlight Cell Rules for different data types and comparative operators</t>
  </si>
  <si>
    <t>Above Average</t>
  </si>
  <si>
    <t>Grades</t>
  </si>
  <si>
    <t>Chart</t>
  </si>
  <si>
    <t>Data bars in cell next to numbers</t>
  </si>
  <si>
    <t>Data Bar on top of numbers</t>
  </si>
  <si>
    <t>Color scales = Ranks number by color.</t>
  </si>
  <si>
    <t>Stock</t>
  </si>
  <si>
    <t>Buy Price</t>
  </si>
  <si>
    <t>Price today</t>
  </si>
  <si>
    <t>Quantity</t>
  </si>
  <si>
    <t>Profit</t>
  </si>
  <si>
    <t>GOOG</t>
  </si>
  <si>
    <t>GE</t>
  </si>
  <si>
    <t>KO</t>
  </si>
  <si>
    <t>MSFT</t>
  </si>
  <si>
    <t>KK</t>
  </si>
  <si>
    <t>SW</t>
  </si>
  <si>
    <t>OR:</t>
  </si>
  <si>
    <t>Value:</t>
  </si>
  <si>
    <t>Actual</t>
  </si>
  <si>
    <t>Expense</t>
  </si>
  <si>
    <t>Rent</t>
  </si>
  <si>
    <t>Budgeted Amount</t>
  </si>
  <si>
    <t>Operations</t>
  </si>
  <si>
    <t>Administration</t>
  </si>
  <si>
    <t>COGS</t>
  </si>
  <si>
    <t>Wage</t>
  </si>
  <si>
    <t>Depr</t>
  </si>
  <si>
    <t>Other</t>
  </si>
  <si>
    <t>Format cell based on a different cell's value: Format Net Sales based on date</t>
  </si>
  <si>
    <t>Format cell based on a different cell's value: Format Net Sales based on Invoice number</t>
  </si>
  <si>
    <t>Format Actual when Actual Exceeds Budgeted: 2 methods</t>
  </si>
  <si>
    <t>Jan</t>
  </si>
  <si>
    <t>Feb</t>
  </si>
  <si>
    <t>Mar</t>
  </si>
  <si>
    <t>Apr</t>
  </si>
  <si>
    <t>May</t>
  </si>
  <si>
    <t>Jun</t>
  </si>
  <si>
    <t>Month</t>
  </si>
  <si>
    <t>Fun</t>
  </si>
  <si>
    <t>Criteria:</t>
  </si>
  <si>
    <t>Fun Rang</t>
  </si>
  <si>
    <t>Greater than</t>
  </si>
  <si>
    <t>Contains</t>
  </si>
  <si>
    <t>Highlight Netsales Greater than</t>
  </si>
  <si>
    <t>Highlight product</t>
  </si>
  <si>
    <t>Highlight the Netsales with</t>
  </si>
  <si>
    <t>Apply Data Bar, Icon set and Grade scale through Conditional Formatting</t>
  </si>
  <si>
    <t>Icon Set from D6: J14</t>
  </si>
  <si>
    <t>Display Icons as per the grades (values)</t>
  </si>
  <si>
    <t>&gt;=67</t>
  </si>
  <si>
    <t>&lt;33</t>
  </si>
  <si>
    <t>Icon</t>
  </si>
  <si>
    <t>Color Scale : A6:A15</t>
  </si>
  <si>
    <t>Grades 1</t>
  </si>
  <si>
    <t>Grades 2</t>
  </si>
  <si>
    <r>
      <t>Grade 1 Bar From</t>
    </r>
    <r>
      <rPr>
        <b/>
        <sz val="11"/>
        <color theme="1"/>
        <rFont val="Calibri"/>
        <family val="2"/>
        <scheme val="minor"/>
      </rPr>
      <t xml:space="preserve"> left to Right</t>
    </r>
    <r>
      <rPr>
        <sz val="11"/>
        <color theme="1"/>
        <rFont val="Calibri"/>
        <family val="2"/>
        <scheme val="minor"/>
      </rPr>
      <t xml:space="preserve"> &amp; Grade 2 Bar from</t>
    </r>
    <r>
      <rPr>
        <b/>
        <sz val="11"/>
        <color theme="1"/>
        <rFont val="Calibri"/>
        <family val="2"/>
        <scheme val="minor"/>
      </rPr>
      <t xml:space="preserve"> Right to left Without the Grades respectively</t>
    </r>
  </si>
  <si>
    <t>Data Bar from D9: J11</t>
  </si>
  <si>
    <t>Color Scale : F6:H14</t>
  </si>
  <si>
    <t>Highlight Top 25 values from D9:J14</t>
  </si>
  <si>
    <t>Highlight those values Which are Below Average from D9:J14</t>
  </si>
  <si>
    <t>&lt;0</t>
  </si>
  <si>
    <t>Values greater than</t>
  </si>
  <si>
    <t>otherwise</t>
  </si>
  <si>
    <t xml:space="preserve"> -ve</t>
  </si>
  <si>
    <t>Conditions</t>
  </si>
  <si>
    <t>Format Profit less than zero: 3 methods</t>
  </si>
  <si>
    <t>Format Row when Actual Exceeds Budgeted by making a helper Column</t>
  </si>
  <si>
    <t>Highlight those Values Which are below Average in the entire table</t>
  </si>
  <si>
    <t>Mobile</t>
  </si>
  <si>
    <t>camera</t>
  </si>
  <si>
    <t>laptop</t>
  </si>
  <si>
    <t>perfumes</t>
  </si>
  <si>
    <t>Ac</t>
  </si>
  <si>
    <t>Months</t>
  </si>
  <si>
    <t>Products</t>
  </si>
  <si>
    <t>Highlight Row &amp; Column As per the user selection</t>
  </si>
  <si>
    <t>Colorad B</t>
  </si>
  <si>
    <t>1/14/2013</t>
  </si>
  <si>
    <t>Gel Boom</t>
  </si>
  <si>
    <t>1/13/2013</t>
  </si>
  <si>
    <t>Click on this Icon for the Refrence</t>
  </si>
  <si>
    <t>Highlight the duplicate Invoices</t>
  </si>
  <si>
    <t>Highligh the Unique Dates</t>
  </si>
  <si>
    <t xml:space="preserve">Conditions </t>
  </si>
  <si>
    <t>Expiry</t>
  </si>
  <si>
    <t>&gt;=7</t>
  </si>
  <si>
    <t>Otherwise</t>
  </si>
  <si>
    <t>Marker</t>
  </si>
  <si>
    <t>&gt;=4</t>
  </si>
  <si>
    <t>Highligh the Net sales below than this value Average</t>
  </si>
  <si>
    <t>Represents the Cost by Data Bars</t>
  </si>
  <si>
    <t>Criterias...........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</si>
</sst>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</font>
    <font>
      <b/>
      <sz val="22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2060"/>
        <bgColor rgb="FF000000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3" borderId="2">
      <alignment wrapText="1"/>
    </xf>
    <xf numFmtId="0" fontId="4" fillId="4" borderId="2"/>
  </cellStyleXfs>
  <cellXfs count="124">
    <xf numFmtId="0" fontId="0" fillId="0" borderId="0" xfId="0"/>
    <xf numFmtId="0" fontId="1" fillId="2" borderId="1" xfId="0" applyFont="1" applyFill="1" applyBorder="1" applyAlignment="1">
      <alignment wrapText="1"/>
    </xf>
    <xf numFmtId="0" fontId="2" fillId="0" borderId="2" xfId="0" applyFont="1" applyBorder="1"/>
    <xf numFmtId="14" fontId="2" fillId="0" borderId="2" xfId="0" applyNumberFormat="1" applyFont="1" applyBorder="1"/>
    <xf numFmtId="164" fontId="2" fillId="0" borderId="2" xfId="0" applyNumberFormat="1" applyFont="1" applyBorder="1"/>
    <xf numFmtId="0" fontId="3" fillId="0" borderId="0" xfId="0" applyFont="1"/>
    <xf numFmtId="0" fontId="5" fillId="0" borderId="0" xfId="0" applyFont="1"/>
    <xf numFmtId="0" fontId="0" fillId="0" borderId="2" xfId="0" applyBorder="1"/>
    <xf numFmtId="0" fontId="3" fillId="0" borderId="2" xfId="0" applyFont="1" applyBorder="1"/>
    <xf numFmtId="0" fontId="4" fillId="3" borderId="2" xfId="0" applyFont="1" applyFill="1" applyBorder="1" applyAlignment="1">
      <alignment wrapText="1"/>
    </xf>
    <xf numFmtId="165" fontId="0" fillId="0" borderId="2" xfId="0" applyNumberFormat="1" applyBorder="1"/>
    <xf numFmtId="14" fontId="0" fillId="0" borderId="0" xfId="0" applyNumberFormat="1"/>
    <xf numFmtId="0" fontId="2" fillId="0" borderId="0" xfId="0" applyFont="1"/>
    <xf numFmtId="14" fontId="0" fillId="0" borderId="2" xfId="0" applyNumberFormat="1" applyBorder="1"/>
    <xf numFmtId="0" fontId="4" fillId="4" borderId="2" xfId="0" applyFont="1" applyFill="1" applyBorder="1"/>
    <xf numFmtId="0" fontId="4" fillId="4" borderId="2" xfId="2"/>
    <xf numFmtId="0" fontId="4" fillId="4" borderId="2" xfId="2" applyAlignment="1">
      <alignment wrapText="1"/>
    </xf>
    <xf numFmtId="0" fontId="6" fillId="5" borderId="2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7" fillId="0" borderId="0" xfId="0" applyFont="1"/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2" fontId="2" fillId="0" borderId="2" xfId="0" applyNumberFormat="1" applyFont="1" applyBorder="1"/>
    <xf numFmtId="2" fontId="0" fillId="0" borderId="0" xfId="0" applyNumberFormat="1"/>
    <xf numFmtId="40" fontId="2" fillId="0" borderId="2" xfId="0" applyNumberFormat="1" applyFont="1" applyBorder="1"/>
    <xf numFmtId="0" fontId="1" fillId="2" borderId="5" xfId="0" applyFont="1" applyFill="1" applyBorder="1" applyAlignment="1">
      <alignment wrapText="1"/>
    </xf>
    <xf numFmtId="0" fontId="1" fillId="0" borderId="0" xfId="0" applyFont="1" applyAlignment="1">
      <alignment wrapText="1"/>
    </xf>
    <xf numFmtId="14" fontId="2" fillId="0" borderId="0" xfId="0" applyNumberFormat="1" applyFont="1"/>
    <xf numFmtId="2" fontId="2" fillId="0" borderId="0" xfId="0" applyNumberFormat="1" applyFont="1"/>
    <xf numFmtId="40" fontId="2" fillId="0" borderId="3" xfId="0" applyNumberFormat="1" applyFont="1" applyBorder="1"/>
    <xf numFmtId="0" fontId="0" fillId="0" borderId="0" xfId="0" applyAlignment="1" applyProtection="1">
      <alignment horizontal="left" indent="2"/>
      <protection locked="0"/>
    </xf>
    <xf numFmtId="0" fontId="3" fillId="0" borderId="0" xfId="0" applyFont="1" applyProtection="1">
      <protection locked="0"/>
    </xf>
    <xf numFmtId="0" fontId="0" fillId="7" borderId="0" xfId="0" applyFill="1" applyProtection="1">
      <protection locked="0"/>
    </xf>
    <xf numFmtId="0" fontId="4" fillId="3" borderId="2" xfId="0" applyFont="1" applyFill="1" applyBorder="1" applyProtection="1">
      <protection locked="0"/>
    </xf>
    <xf numFmtId="164" fontId="0" fillId="0" borderId="2" xfId="0" applyNumberFormat="1" applyBorder="1" applyProtection="1">
      <protection locked="0"/>
    </xf>
    <xf numFmtId="0" fontId="4" fillId="4" borderId="2" xfId="0" applyFont="1" applyFill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0" xfId="0" applyNumberFormat="1" applyProtection="1">
      <protection locked="0"/>
    </xf>
    <xf numFmtId="2" fontId="4" fillId="3" borderId="2" xfId="0" applyNumberFormat="1" applyFont="1" applyFill="1" applyBorder="1" applyProtection="1">
      <protection locked="0"/>
    </xf>
    <xf numFmtId="2" fontId="4" fillId="4" borderId="2" xfId="0" applyNumberFormat="1" applyFont="1" applyFill="1" applyBorder="1" applyProtection="1">
      <protection locked="0"/>
    </xf>
    <xf numFmtId="0" fontId="4" fillId="3" borderId="2" xfId="0" applyFont="1" applyFill="1" applyBorder="1" applyAlignment="1" applyProtection="1">
      <alignment wrapText="1"/>
      <protection locked="0"/>
    </xf>
    <xf numFmtId="2" fontId="4" fillId="3" borderId="2" xfId="0" applyNumberFormat="1" applyFont="1" applyFill="1" applyBorder="1" applyAlignment="1" applyProtection="1">
      <alignment wrapText="1"/>
      <protection locked="0"/>
    </xf>
    <xf numFmtId="2" fontId="1" fillId="2" borderId="1" xfId="0" applyNumberFormat="1" applyFont="1" applyFill="1" applyBorder="1" applyAlignment="1" applyProtection="1">
      <alignment wrapText="1"/>
      <protection locked="0"/>
    </xf>
    <xf numFmtId="2" fontId="2" fillId="0" borderId="2" xfId="0" applyNumberFormat="1" applyFont="1" applyBorder="1" applyProtection="1">
      <protection locked="0"/>
    </xf>
    <xf numFmtId="0" fontId="4" fillId="4" borderId="2" xfId="2" applyAlignment="1" applyProtection="1">
      <alignment wrapText="1"/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2" xfId="0" applyNumberFormat="1" applyBorder="1" applyProtection="1">
      <protection locked="0"/>
    </xf>
    <xf numFmtId="0" fontId="0" fillId="9" borderId="0" xfId="0" applyFill="1" applyAlignment="1" applyProtection="1">
      <alignment horizontal="left" indent="2"/>
      <protection locked="0"/>
    </xf>
    <xf numFmtId="0" fontId="3" fillId="0" borderId="2" xfId="0" applyFont="1" applyBorder="1" applyProtection="1">
      <protection locked="0"/>
    </xf>
    <xf numFmtId="0" fontId="0" fillId="9" borderId="0" xfId="0" applyFill="1" applyProtection="1">
      <protection locked="0"/>
    </xf>
    <xf numFmtId="0" fontId="3" fillId="10" borderId="0" xfId="0" applyFont="1" applyFill="1" applyProtection="1">
      <protection locked="0"/>
    </xf>
    <xf numFmtId="0" fontId="3" fillId="10" borderId="0" xfId="0" applyFont="1" applyFill="1"/>
    <xf numFmtId="0" fontId="0" fillId="10" borderId="0" xfId="0" applyFill="1" applyProtection="1">
      <protection locked="0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1" borderId="8" xfId="0" applyFill="1" applyBorder="1" applyProtection="1">
      <protection locked="0"/>
    </xf>
    <xf numFmtId="0" fontId="0" fillId="11" borderId="9" xfId="0" applyFill="1" applyBorder="1"/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/>
    <xf numFmtId="0" fontId="0" fillId="11" borderId="11" xfId="0" applyFill="1" applyBorder="1" applyProtection="1">
      <protection locked="0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0" fillId="11" borderId="6" xfId="0" applyFill="1" applyBorder="1"/>
    <xf numFmtId="0" fontId="0" fillId="11" borderId="5" xfId="0" applyFill="1" applyBorder="1"/>
    <xf numFmtId="0" fontId="0" fillId="11" borderId="12" xfId="0" applyFill="1" applyBorder="1"/>
    <xf numFmtId="0" fontId="0" fillId="11" borderId="13" xfId="0" applyFill="1" applyBorder="1"/>
    <xf numFmtId="0" fontId="3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12" borderId="0" xfId="0" applyFill="1"/>
    <xf numFmtId="2" fontId="4" fillId="4" borderId="3" xfId="0" applyNumberFormat="1" applyFont="1" applyFill="1" applyBorder="1" applyProtection="1">
      <protection locked="0"/>
    </xf>
    <xf numFmtId="2" fontId="0" fillId="0" borderId="3" xfId="0" applyNumberFormat="1" applyBorder="1" applyProtection="1">
      <protection locked="0"/>
    </xf>
    <xf numFmtId="14" fontId="2" fillId="0" borderId="2" xfId="0" applyNumberFormat="1" applyFont="1" applyBorder="1" applyProtection="1">
      <protection locked="0"/>
    </xf>
    <xf numFmtId="0" fontId="10" fillId="0" borderId="0" xfId="0" applyFont="1"/>
    <xf numFmtId="0" fontId="10" fillId="0" borderId="2" xfId="0" applyFont="1" applyBorder="1"/>
    <xf numFmtId="0" fontId="9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9" fillId="0" borderId="2" xfId="0" applyFont="1" applyBorder="1" applyProtection="1">
      <protection locked="0"/>
    </xf>
    <xf numFmtId="0" fontId="9" fillId="13" borderId="2" xfId="0" applyFont="1" applyFill="1" applyBorder="1"/>
    <xf numFmtId="0" fontId="9" fillId="14" borderId="2" xfId="0" applyFont="1" applyFill="1" applyBorder="1" applyAlignment="1">
      <alignment horizontal="center" vertical="center"/>
    </xf>
    <xf numFmtId="0" fontId="3" fillId="15" borderId="2" xfId="0" applyFont="1" applyFill="1" applyBorder="1"/>
    <xf numFmtId="0" fontId="0" fillId="0" borderId="9" xfId="0" applyBorder="1"/>
    <xf numFmtId="0" fontId="12" fillId="4" borderId="3" xfId="0" applyFont="1" applyFill="1" applyBorder="1"/>
    <xf numFmtId="0" fontId="11" fillId="0" borderId="2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/>
    <xf numFmtId="0" fontId="11" fillId="0" borderId="11" xfId="0" applyFont="1" applyBorder="1"/>
    <xf numFmtId="0" fontId="11" fillId="0" borderId="0" xfId="0" applyFont="1"/>
    <xf numFmtId="0" fontId="11" fillId="0" borderId="6" xfId="0" applyFont="1" applyBorder="1"/>
    <xf numFmtId="0" fontId="11" fillId="0" borderId="5" xfId="0" applyFont="1" applyBorder="1"/>
    <xf numFmtId="0" fontId="11" fillId="0" borderId="12" xfId="0" applyFont="1" applyBorder="1"/>
    <xf numFmtId="0" fontId="11" fillId="0" borderId="13" xfId="0" applyFont="1" applyBorder="1"/>
    <xf numFmtId="164" fontId="0" fillId="0" borderId="0" xfId="0" applyNumberFormat="1"/>
    <xf numFmtId="0" fontId="2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164" fontId="0" fillId="0" borderId="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3" fillId="18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 wrapText="1"/>
    </xf>
    <xf numFmtId="0" fontId="0" fillId="8" borderId="0" xfId="0" applyFill="1"/>
    <xf numFmtId="0" fontId="0" fillId="8" borderId="6" xfId="0" applyFill="1" applyBorder="1"/>
    <xf numFmtId="0" fontId="7" fillId="0" borderId="0" xfId="0" applyFo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3" fillId="7" borderId="0" xfId="0" applyFont="1" applyFill="1" applyProtection="1">
      <protection locked="0"/>
    </xf>
    <xf numFmtId="0" fontId="0" fillId="9" borderId="0" xfId="0" applyFill="1" applyAlignment="1" applyProtection="1">
      <alignment horizontal="left" indent="2"/>
      <protection locked="0"/>
    </xf>
    <xf numFmtId="0" fontId="3" fillId="10" borderId="0" xfId="0" applyFont="1" applyFill="1" applyProtection="1">
      <protection locked="0"/>
    </xf>
    <xf numFmtId="0" fontId="3" fillId="9" borderId="0" xfId="0" applyFont="1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6" borderId="0" xfId="0" applyFill="1"/>
    <xf numFmtId="0" fontId="10" fillId="0" borderId="0" xfId="0" applyFont="1" applyAlignment="1">
      <alignment horizontal="center"/>
    </xf>
    <xf numFmtId="0" fontId="14" fillId="19" borderId="2" xfId="0" applyFont="1" applyFill="1" applyBorder="1" applyAlignment="1">
      <alignment horizontal="center" vertical="center"/>
    </xf>
    <xf numFmtId="0" fontId="14" fillId="19" borderId="7" xfId="0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</cellXfs>
  <cellStyles count="3">
    <cellStyle name="Blue" xfId="1" xr:uid="{00000000-0005-0000-0000-000000000000}"/>
    <cellStyle name="Normal" xfId="0" builtinId="0"/>
    <cellStyle name="Red" xfId="2" xr:uid="{00000000-0005-0000-0000-000002000000}"/>
  </cellStyles>
  <dxfs count="29"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92D050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FF"/>
      <color rgb="FF00FF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hyperlink" Target="#'Refrence Sheet 14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289560</xdr:colOff>
      <xdr:row>23</xdr:row>
      <xdr:rowOff>7620</xdr:rowOff>
    </xdr:from>
    <xdr:to>
      <xdr:col>9</xdr:col>
      <xdr:colOff>480077</xdr:colOff>
      <xdr:row>23</xdr:row>
      <xdr:rowOff>175275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7CADCD-FB6E-4390-A1B0-57D22DC57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0720" y="4213860"/>
          <a:ext cx="190517" cy="167655"/>
        </a:xfrm>
        <a:prstGeom prst="rect">
          <a:avLst/>
        </a:prstGeom>
      </xdr:spPr>
    </xdr:pic>
    <xdr:clientData/>
  </xdr:twoCellAnchor>
  <xdr:twoCellAnchor editAs="oneCell">
    <xdr:from>
      <xdr:col>9</xdr:col>
      <xdr:colOff>274320</xdr:colOff>
      <xdr:row>19</xdr:row>
      <xdr:rowOff>7620</xdr:rowOff>
    </xdr:from>
    <xdr:to>
      <xdr:col>9</xdr:col>
      <xdr:colOff>441975</xdr:colOff>
      <xdr:row>20</xdr:row>
      <xdr:rowOff>22877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BFD0D8-5747-4A9B-9213-3A7093CB7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45480" y="3482340"/>
          <a:ext cx="167655" cy="198137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21</xdr:row>
      <xdr:rowOff>0</xdr:rowOff>
    </xdr:from>
    <xdr:to>
      <xdr:col>9</xdr:col>
      <xdr:colOff>464838</xdr:colOff>
      <xdr:row>22</xdr:row>
      <xdr:rowOff>15257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229B26-4B43-41E0-91A0-4300D1A9A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22620" y="3840480"/>
          <a:ext cx="213378" cy="198137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16</xdr:row>
      <xdr:rowOff>167640</xdr:rowOff>
    </xdr:from>
    <xdr:to>
      <xdr:col>9</xdr:col>
      <xdr:colOff>471900</xdr:colOff>
      <xdr:row>18</xdr:row>
      <xdr:rowOff>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281C97E-73D0-4E83-A6DB-C338885359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7" b="-8"/>
        <a:stretch>
          <a:fillRect/>
        </a:stretch>
      </xdr:blipFill>
      <xdr:spPr>
        <a:xfrm>
          <a:off x="5737860" y="3093720"/>
          <a:ext cx="205200" cy="1981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289560</xdr:colOff>
      <xdr:row>23</xdr:row>
      <xdr:rowOff>7620</xdr:rowOff>
    </xdr:from>
    <xdr:to>
      <xdr:col>9</xdr:col>
      <xdr:colOff>480077</xdr:colOff>
      <xdr:row>23</xdr:row>
      <xdr:rowOff>175275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5A4618F-D419-EC74-A236-C3A52CA1B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75960" y="4396740"/>
          <a:ext cx="190517" cy="167655"/>
        </a:xfrm>
        <a:prstGeom prst="rect">
          <a:avLst/>
        </a:prstGeom>
      </xdr:spPr>
    </xdr:pic>
    <xdr:clientData/>
  </xdr:twoCellAnchor>
  <xdr:twoCellAnchor editAs="oneCell">
    <xdr:from>
      <xdr:col>9</xdr:col>
      <xdr:colOff>274320</xdr:colOff>
      <xdr:row>19</xdr:row>
      <xdr:rowOff>7620</xdr:rowOff>
    </xdr:from>
    <xdr:to>
      <xdr:col>9</xdr:col>
      <xdr:colOff>441975</xdr:colOff>
      <xdr:row>20</xdr:row>
      <xdr:rowOff>22877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0F953E2-A1CA-0B74-4B55-7231A5ADA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0720" y="3665220"/>
          <a:ext cx="167655" cy="198137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21</xdr:row>
      <xdr:rowOff>0</xdr:rowOff>
    </xdr:from>
    <xdr:to>
      <xdr:col>9</xdr:col>
      <xdr:colOff>464838</xdr:colOff>
      <xdr:row>22</xdr:row>
      <xdr:rowOff>15257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40B4B06-C87E-3180-9B00-448F0CB4B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37860" y="4023360"/>
          <a:ext cx="213378" cy="198137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16</xdr:row>
      <xdr:rowOff>167640</xdr:rowOff>
    </xdr:from>
    <xdr:to>
      <xdr:col>9</xdr:col>
      <xdr:colOff>471900</xdr:colOff>
      <xdr:row>18</xdr:row>
      <xdr:rowOff>17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3E3EB2E-6C8E-C795-65E1-CA222222CB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7" b="-8"/>
        <a:stretch>
          <a:fillRect/>
        </a:stretch>
      </xdr:blipFill>
      <xdr:spPr>
        <a:xfrm>
          <a:off x="5753100" y="3276600"/>
          <a:ext cx="205200" cy="198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3</xdr:row>
      <xdr:rowOff>129540</xdr:rowOff>
    </xdr:from>
    <xdr:to>
      <xdr:col>8</xdr:col>
      <xdr:colOff>419100</xdr:colOff>
      <xdr:row>8</xdr:row>
      <xdr:rowOff>60960</xdr:rowOff>
    </xdr:to>
    <xdr:pic>
      <xdr:nvPicPr>
        <xdr:cNvPr id="3" name="Graphic 2" descr="Link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AF5DFF-4D8A-FDDE-06FF-D43E39A07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213860" y="678180"/>
          <a:ext cx="845820" cy="8458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174625</xdr:colOff>
      <xdr:row>3</xdr:row>
      <xdr:rowOff>222249</xdr:rowOff>
    </xdr:from>
    <xdr:to>
      <xdr:col>9</xdr:col>
      <xdr:colOff>429375</xdr:colOff>
      <xdr:row>3</xdr:row>
      <xdr:rowOff>436562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521BDE-8EF2-D3F7-F56D-A7C9337EC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8000" y="769937"/>
          <a:ext cx="254750" cy="214313"/>
        </a:xfrm>
        <a:prstGeom prst="rect">
          <a:avLst/>
        </a:prstGeom>
      </xdr:spPr>
    </xdr:pic>
    <xdr:clientData/>
  </xdr:twoCellAnchor>
  <xdr:twoCellAnchor editAs="oneCell">
    <xdr:from>
      <xdr:col>7</xdr:col>
      <xdr:colOff>214116</xdr:colOff>
      <xdr:row>3</xdr:row>
      <xdr:rowOff>233010</xdr:rowOff>
    </xdr:from>
    <xdr:to>
      <xdr:col>7</xdr:col>
      <xdr:colOff>450273</xdr:colOff>
      <xdr:row>3</xdr:row>
      <xdr:rowOff>451992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C003BBA-338E-5FEA-65A8-FA11ED697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30099" y="780894"/>
          <a:ext cx="236157" cy="218982"/>
        </a:xfrm>
        <a:prstGeom prst="rect">
          <a:avLst/>
        </a:prstGeom>
      </xdr:spPr>
    </xdr:pic>
    <xdr:clientData/>
  </xdr:twoCellAnchor>
  <xdr:twoCellAnchor editAs="oneCell">
    <xdr:from>
      <xdr:col>8</xdr:col>
      <xdr:colOff>188924</xdr:colOff>
      <xdr:row>3</xdr:row>
      <xdr:rowOff>239306</xdr:rowOff>
    </xdr:from>
    <xdr:to>
      <xdr:col>8</xdr:col>
      <xdr:colOff>449821</xdr:colOff>
      <xdr:row>3</xdr:row>
      <xdr:rowOff>459719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92B9A44-642A-7FDE-17B7-E12851C27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59850" y="787190"/>
          <a:ext cx="260897" cy="2204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174625</xdr:colOff>
      <xdr:row>3</xdr:row>
      <xdr:rowOff>222249</xdr:rowOff>
    </xdr:from>
    <xdr:to>
      <xdr:col>9</xdr:col>
      <xdr:colOff>429375</xdr:colOff>
      <xdr:row>3</xdr:row>
      <xdr:rowOff>436562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1F4704-881C-423E-B8CB-7A9405117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47125" y="770889"/>
          <a:ext cx="254750" cy="214313"/>
        </a:xfrm>
        <a:prstGeom prst="rect">
          <a:avLst/>
        </a:prstGeom>
      </xdr:spPr>
    </xdr:pic>
    <xdr:clientData/>
  </xdr:twoCellAnchor>
  <xdr:twoCellAnchor editAs="oneCell">
    <xdr:from>
      <xdr:col>7</xdr:col>
      <xdr:colOff>214116</xdr:colOff>
      <xdr:row>3</xdr:row>
      <xdr:rowOff>233010</xdr:rowOff>
    </xdr:from>
    <xdr:to>
      <xdr:col>7</xdr:col>
      <xdr:colOff>450273</xdr:colOff>
      <xdr:row>3</xdr:row>
      <xdr:rowOff>451992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A6EDF6-9964-45FB-B810-B1F50A5FD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37876" y="781650"/>
          <a:ext cx="236157" cy="218982"/>
        </a:xfrm>
        <a:prstGeom prst="rect">
          <a:avLst/>
        </a:prstGeom>
      </xdr:spPr>
    </xdr:pic>
    <xdr:clientData/>
  </xdr:twoCellAnchor>
  <xdr:twoCellAnchor editAs="oneCell">
    <xdr:from>
      <xdr:col>8</xdr:col>
      <xdr:colOff>188924</xdr:colOff>
      <xdr:row>3</xdr:row>
      <xdr:rowOff>239306</xdr:rowOff>
    </xdr:from>
    <xdr:to>
      <xdr:col>8</xdr:col>
      <xdr:colOff>449821</xdr:colOff>
      <xdr:row>3</xdr:row>
      <xdr:rowOff>459719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11FFAE-347A-445C-B007-F33AB53AA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06104" y="787946"/>
          <a:ext cx="260897" cy="2204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</sheetPr>
  <dimension ref="A3:I25"/>
  <sheetViews>
    <sheetView zoomScale="81" zoomScaleNormal="100" workbookViewId="0">
      <selection activeCell="A33" sqref="A33"/>
    </sheetView>
  </sheetViews>
  <sheetFormatPr defaultRowHeight="14.4" x14ac:dyDescent="0.3"/>
  <cols>
    <col min="1" max="1" width="18.6640625" customWidth="1"/>
    <col min="2" max="2" width="10.77734375" bestFit="1" customWidth="1"/>
    <col min="3" max="3" width="14.21875" customWidth="1"/>
    <col min="4" max="4" width="11.77734375" customWidth="1"/>
    <col min="5" max="5" width="12.44140625" customWidth="1"/>
    <col min="6" max="6" width="12.21875" bestFit="1" customWidth="1"/>
    <col min="7" max="7" width="10.77734375" bestFit="1" customWidth="1"/>
    <col min="8" max="8" width="14.21875" customWidth="1"/>
    <col min="9" max="9" width="11.77734375" customWidth="1"/>
    <col min="10" max="10" width="14.21875" customWidth="1"/>
    <col min="11" max="11" width="11.77734375" customWidth="1"/>
    <col min="12" max="12" width="10.77734375" customWidth="1"/>
    <col min="13" max="13" width="11.21875" customWidth="1"/>
  </cols>
  <sheetData>
    <row r="3" spans="1:9" ht="23.4" x14ac:dyDescent="0.45">
      <c r="A3" s="109" t="s">
        <v>18</v>
      </c>
      <c r="B3" s="109"/>
      <c r="C3" s="109"/>
      <c r="D3" s="109"/>
      <c r="E3" s="109"/>
      <c r="F3" s="109"/>
      <c r="G3" s="109"/>
      <c r="H3" s="109"/>
      <c r="I3" s="109"/>
    </row>
    <row r="4" spans="1:9" ht="23.4" x14ac:dyDescent="0.45">
      <c r="A4" s="109" t="s">
        <v>19</v>
      </c>
      <c r="B4" s="109"/>
      <c r="C4" s="109"/>
      <c r="D4" s="109"/>
      <c r="E4" s="109"/>
      <c r="F4" s="109"/>
      <c r="G4" s="109"/>
      <c r="H4" s="109"/>
      <c r="I4" s="109"/>
    </row>
    <row r="5" spans="1:9" ht="23.4" x14ac:dyDescent="0.45">
      <c r="A5" s="109" t="s">
        <v>20</v>
      </c>
      <c r="B5" s="109"/>
      <c r="C5" s="109"/>
      <c r="D5" s="109"/>
      <c r="E5" s="109"/>
      <c r="F5" s="109"/>
      <c r="G5" s="109"/>
      <c r="H5" s="109"/>
      <c r="I5" s="109"/>
    </row>
    <row r="7" spans="1:9" x14ac:dyDescent="0.3">
      <c r="A7" s="5" t="s">
        <v>30</v>
      </c>
    </row>
    <row r="8" spans="1:9" x14ac:dyDescent="0.3">
      <c r="A8" s="5"/>
    </row>
    <row r="9" spans="1:9" x14ac:dyDescent="0.3">
      <c r="B9" s="107" t="s">
        <v>75</v>
      </c>
      <c r="C9" s="107"/>
      <c r="D9" s="107"/>
      <c r="E9" s="108"/>
      <c r="F9" s="15" t="s">
        <v>73</v>
      </c>
      <c r="G9" s="7">
        <v>1000</v>
      </c>
    </row>
    <row r="10" spans="1:9" x14ac:dyDescent="0.3">
      <c r="B10" s="107" t="s">
        <v>76</v>
      </c>
      <c r="C10" s="107"/>
      <c r="D10" s="107"/>
      <c r="E10" s="108"/>
      <c r="F10" s="15" t="s">
        <v>74</v>
      </c>
      <c r="G10" s="7" t="s">
        <v>70</v>
      </c>
    </row>
    <row r="12" spans="1:9" x14ac:dyDescent="0.3">
      <c r="A12" s="18" t="s">
        <v>0</v>
      </c>
      <c r="B12" s="18" t="s">
        <v>2</v>
      </c>
      <c r="C12" s="18" t="s">
        <v>3</v>
      </c>
      <c r="D12" s="18" t="s">
        <v>4</v>
      </c>
      <c r="F12" s="26"/>
      <c r="G12" s="26"/>
      <c r="H12" s="26"/>
      <c r="I12" s="26"/>
    </row>
    <row r="13" spans="1:9" x14ac:dyDescent="0.3">
      <c r="A13" s="3">
        <v>41275</v>
      </c>
      <c r="B13" s="2" t="s">
        <v>5</v>
      </c>
      <c r="C13" s="22">
        <v>1232.44</v>
      </c>
      <c r="D13" s="22">
        <v>591.58000000000004</v>
      </c>
      <c r="E13" s="23"/>
      <c r="F13" s="27"/>
      <c r="G13" s="12"/>
      <c r="H13" s="28"/>
      <c r="I13" s="28"/>
    </row>
    <row r="14" spans="1:9" x14ac:dyDescent="0.3">
      <c r="A14" s="3">
        <v>41276</v>
      </c>
      <c r="B14" s="2" t="s">
        <v>7</v>
      </c>
      <c r="C14" s="22">
        <v>1000</v>
      </c>
      <c r="D14" s="22">
        <v>212.08</v>
      </c>
      <c r="E14" s="23"/>
      <c r="F14" s="27"/>
      <c r="G14" s="12"/>
      <c r="H14" s="28"/>
      <c r="I14" s="28"/>
    </row>
    <row r="15" spans="1:9" x14ac:dyDescent="0.3">
      <c r="A15" s="3">
        <v>41276</v>
      </c>
      <c r="B15" s="2" t="s">
        <v>8</v>
      </c>
      <c r="C15" s="22">
        <v>357.5</v>
      </c>
      <c r="D15" s="22">
        <v>193.06</v>
      </c>
      <c r="E15" s="23"/>
      <c r="F15" s="27"/>
      <c r="G15" s="12"/>
      <c r="H15" s="28"/>
      <c r="I15" s="28"/>
    </row>
    <row r="16" spans="1:9" x14ac:dyDescent="0.3">
      <c r="A16" s="3">
        <v>41276</v>
      </c>
      <c r="B16" s="2" t="s">
        <v>9</v>
      </c>
      <c r="C16" s="22">
        <v>1957.6</v>
      </c>
      <c r="D16" s="22">
        <v>1037.55</v>
      </c>
      <c r="E16" s="23"/>
      <c r="F16" s="27"/>
      <c r="G16" s="12"/>
      <c r="H16" s="28"/>
      <c r="I16" s="28"/>
    </row>
    <row r="17" spans="1:9" x14ac:dyDescent="0.3">
      <c r="A17" s="3">
        <v>41277</v>
      </c>
      <c r="B17" s="2" t="s">
        <v>5</v>
      </c>
      <c r="C17" s="22">
        <v>561.67999999999995</v>
      </c>
      <c r="D17" s="22">
        <v>303.31</v>
      </c>
      <c r="E17" s="23"/>
      <c r="F17" s="27"/>
      <c r="G17" s="12"/>
      <c r="H17" s="28"/>
      <c r="I17" s="28"/>
    </row>
    <row r="18" spans="1:9" x14ac:dyDescent="0.3">
      <c r="A18" s="3">
        <v>41277</v>
      </c>
      <c r="B18" s="2" t="s">
        <v>16</v>
      </c>
      <c r="C18" s="22">
        <v>1980</v>
      </c>
      <c r="D18" s="22">
        <v>990</v>
      </c>
      <c r="E18" s="23"/>
      <c r="F18" s="27"/>
      <c r="G18" s="12"/>
      <c r="H18" s="28"/>
      <c r="I18" s="28"/>
    </row>
    <row r="19" spans="1:9" x14ac:dyDescent="0.3">
      <c r="A19" s="3">
        <v>41278</v>
      </c>
      <c r="B19" s="2" t="s">
        <v>5</v>
      </c>
      <c r="C19" s="22">
        <v>2772</v>
      </c>
      <c r="D19" s="22">
        <v>1469.16</v>
      </c>
      <c r="E19" s="23"/>
      <c r="F19" s="27"/>
      <c r="G19" s="12"/>
      <c r="H19" s="28"/>
      <c r="I19" s="28"/>
    </row>
    <row r="20" spans="1:9" x14ac:dyDescent="0.3">
      <c r="A20" s="3">
        <v>41279</v>
      </c>
      <c r="B20" s="2" t="s">
        <v>5</v>
      </c>
      <c r="C20" s="22">
        <v>4536</v>
      </c>
      <c r="D20" s="22">
        <v>2358.7199999999998</v>
      </c>
      <c r="E20" s="23"/>
      <c r="F20" s="27"/>
      <c r="G20" s="12"/>
      <c r="H20" s="28"/>
      <c r="I20" s="28"/>
    </row>
    <row r="21" spans="1:9" x14ac:dyDescent="0.3">
      <c r="A21" s="3">
        <v>41279</v>
      </c>
      <c r="B21" s="2" t="s">
        <v>10</v>
      </c>
      <c r="C21" s="22">
        <v>503.1</v>
      </c>
      <c r="D21" s="22">
        <v>251.56</v>
      </c>
      <c r="E21" s="23"/>
      <c r="F21" s="27"/>
      <c r="G21" s="12"/>
      <c r="H21" s="28"/>
      <c r="I21" s="28"/>
    </row>
    <row r="22" spans="1:9" x14ac:dyDescent="0.3">
      <c r="A22" s="3">
        <v>41279</v>
      </c>
      <c r="B22" s="2" t="s">
        <v>72</v>
      </c>
      <c r="C22" s="22">
        <v>3938.4</v>
      </c>
      <c r="D22" s="22">
        <v>1890.4</v>
      </c>
      <c r="E22" s="23"/>
      <c r="F22" s="27"/>
      <c r="G22" s="12"/>
      <c r="H22" s="28"/>
      <c r="I22" s="28"/>
    </row>
    <row r="23" spans="1:9" x14ac:dyDescent="0.3">
      <c r="A23" s="3">
        <v>41279</v>
      </c>
      <c r="B23" s="2" t="s">
        <v>10</v>
      </c>
      <c r="C23" s="22">
        <v>464.96</v>
      </c>
      <c r="D23" s="22">
        <v>237.12</v>
      </c>
      <c r="E23" s="23"/>
      <c r="F23" s="27"/>
      <c r="G23" s="12"/>
      <c r="H23" s="28"/>
      <c r="I23" s="28"/>
    </row>
    <row r="24" spans="1:9" x14ac:dyDescent="0.3">
      <c r="C24" s="23"/>
      <c r="D24" s="23"/>
      <c r="E24" s="23"/>
      <c r="H24" s="23"/>
      <c r="I24" s="23"/>
    </row>
    <row r="25" spans="1:9" x14ac:dyDescent="0.3">
      <c r="H25" s="23"/>
      <c r="I25" s="23"/>
    </row>
  </sheetData>
  <mergeCells count="5">
    <mergeCell ref="B10:E10"/>
    <mergeCell ref="A3:I3"/>
    <mergeCell ref="A4:I4"/>
    <mergeCell ref="A5:I5"/>
    <mergeCell ref="B9:E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I114"/>
  <sheetViews>
    <sheetView zoomScale="115" zoomScaleNormal="115" workbookViewId="0">
      <selection activeCell="C18" sqref="C18"/>
    </sheetView>
  </sheetViews>
  <sheetFormatPr defaultRowHeight="14.4" x14ac:dyDescent="0.3"/>
  <cols>
    <col min="1" max="1" width="9.77734375" customWidth="1"/>
    <col min="2" max="2" width="10.77734375" bestFit="1" customWidth="1"/>
    <col min="3" max="3" width="14.21875" customWidth="1"/>
    <col min="4" max="4" width="11.77734375" customWidth="1"/>
    <col min="5" max="5" width="12.44140625" customWidth="1"/>
    <col min="6" max="6" width="12.21875" bestFit="1" customWidth="1"/>
    <col min="7" max="7" width="10.77734375" bestFit="1" customWidth="1"/>
    <col min="8" max="8" width="14.21875" customWidth="1"/>
    <col min="9" max="9" width="11.77734375" customWidth="1"/>
    <col min="10" max="10" width="14.21875" customWidth="1"/>
    <col min="11" max="11" width="11.77734375" customWidth="1"/>
    <col min="12" max="12" width="10.77734375" customWidth="1"/>
    <col min="13" max="13" width="11.21875" customWidth="1"/>
  </cols>
  <sheetData>
    <row r="1" spans="1:9" ht="23.4" x14ac:dyDescent="0.45">
      <c r="A1" s="19" t="s">
        <v>18</v>
      </c>
      <c r="B1" s="6"/>
    </row>
    <row r="2" spans="1:9" ht="23.4" x14ac:dyDescent="0.45">
      <c r="A2" s="19" t="s">
        <v>19</v>
      </c>
      <c r="B2" s="6"/>
    </row>
    <row r="3" spans="1:9" ht="23.4" x14ac:dyDescent="0.45">
      <c r="A3" s="19" t="s">
        <v>20</v>
      </c>
      <c r="B3" s="6"/>
    </row>
    <row r="5" spans="1:9" x14ac:dyDescent="0.3">
      <c r="A5" s="5" t="s">
        <v>30</v>
      </c>
    </row>
    <row r="6" spans="1:9" x14ac:dyDescent="0.3">
      <c r="A6" s="5"/>
    </row>
    <row r="7" spans="1:9" x14ac:dyDescent="0.3">
      <c r="C7" s="107" t="s">
        <v>75</v>
      </c>
      <c r="D7" s="107"/>
      <c r="E7" s="107"/>
      <c r="F7" s="108"/>
      <c r="G7" s="15" t="s">
        <v>73</v>
      </c>
      <c r="H7" s="7">
        <v>1000</v>
      </c>
    </row>
    <row r="8" spans="1:9" x14ac:dyDescent="0.3">
      <c r="C8" s="107" t="s">
        <v>76</v>
      </c>
      <c r="D8" s="107"/>
      <c r="E8" s="107"/>
      <c r="F8" s="108"/>
      <c r="G8" s="15" t="s">
        <v>74</v>
      </c>
      <c r="H8" s="7" t="s">
        <v>70</v>
      </c>
    </row>
    <row r="10" spans="1:9" x14ac:dyDescent="0.3">
      <c r="A10" s="1" t="s">
        <v>0</v>
      </c>
      <c r="B10" s="1" t="s">
        <v>2</v>
      </c>
      <c r="C10" s="1" t="s">
        <v>3</v>
      </c>
      <c r="D10" s="25" t="s">
        <v>4</v>
      </c>
      <c r="F10" s="26"/>
      <c r="G10" s="26"/>
      <c r="H10" s="26"/>
      <c r="I10" s="26"/>
    </row>
    <row r="11" spans="1:9" x14ac:dyDescent="0.3">
      <c r="A11" s="3">
        <v>41275</v>
      </c>
      <c r="B11" s="2" t="s">
        <v>5</v>
      </c>
      <c r="C11" s="24">
        <v>1232.44</v>
      </c>
      <c r="D11" s="29">
        <v>591.58000000000004</v>
      </c>
      <c r="F11" s="27"/>
      <c r="G11" s="28"/>
      <c r="H11" s="28"/>
      <c r="I11" s="28"/>
    </row>
    <row r="12" spans="1:9" x14ac:dyDescent="0.3">
      <c r="A12" s="3">
        <v>41276</v>
      </c>
      <c r="B12" s="2" t="s">
        <v>7</v>
      </c>
      <c r="C12" s="24">
        <v>1000</v>
      </c>
      <c r="D12" s="29">
        <v>212.08</v>
      </c>
      <c r="F12" s="27"/>
      <c r="G12" s="28"/>
      <c r="H12" s="28"/>
      <c r="I12" s="28"/>
    </row>
    <row r="13" spans="1:9" x14ac:dyDescent="0.3">
      <c r="A13" s="3">
        <v>41276</v>
      </c>
      <c r="B13" s="2" t="s">
        <v>8</v>
      </c>
      <c r="C13" s="24">
        <v>357.5</v>
      </c>
      <c r="D13" s="29">
        <v>193.06</v>
      </c>
      <c r="F13" s="27"/>
      <c r="G13" s="28"/>
      <c r="H13" s="28"/>
      <c r="I13" s="28"/>
    </row>
    <row r="14" spans="1:9" x14ac:dyDescent="0.3">
      <c r="A14" s="3">
        <v>41276</v>
      </c>
      <c r="B14" s="2" t="s">
        <v>9</v>
      </c>
      <c r="C14" s="24">
        <v>1957.6</v>
      </c>
      <c r="D14" s="29">
        <v>1037.55</v>
      </c>
      <c r="F14" s="27"/>
      <c r="G14" s="28"/>
      <c r="H14" s="28"/>
      <c r="I14" s="28"/>
    </row>
    <row r="15" spans="1:9" x14ac:dyDescent="0.3">
      <c r="A15" s="3">
        <v>41277</v>
      </c>
      <c r="B15" s="2" t="s">
        <v>5</v>
      </c>
      <c r="C15" s="24">
        <v>561.67999999999995</v>
      </c>
      <c r="D15" s="29">
        <v>303.31</v>
      </c>
      <c r="F15" s="27"/>
      <c r="G15" s="28"/>
      <c r="H15" s="28"/>
      <c r="I15" s="28"/>
    </row>
    <row r="16" spans="1:9" x14ac:dyDescent="0.3">
      <c r="A16" s="3">
        <v>41277</v>
      </c>
      <c r="B16" s="2" t="s">
        <v>16</v>
      </c>
      <c r="C16" s="24">
        <v>1980</v>
      </c>
      <c r="D16" s="29">
        <v>990</v>
      </c>
      <c r="F16" s="27"/>
      <c r="G16" s="28"/>
      <c r="H16" s="28"/>
      <c r="I16" s="28"/>
    </row>
    <row r="17" spans="1:9" x14ac:dyDescent="0.3">
      <c r="A17" s="3">
        <v>41278</v>
      </c>
      <c r="B17" s="2" t="s">
        <v>5</v>
      </c>
      <c r="C17" s="24">
        <v>2772</v>
      </c>
      <c r="D17" s="29">
        <v>1469.16</v>
      </c>
      <c r="F17" s="27"/>
      <c r="G17" s="28"/>
      <c r="H17" s="28"/>
      <c r="I17" s="28"/>
    </row>
    <row r="18" spans="1:9" x14ac:dyDescent="0.3">
      <c r="A18" s="3">
        <v>41279</v>
      </c>
      <c r="B18" s="2" t="s">
        <v>5</v>
      </c>
      <c r="C18" s="24">
        <v>4536</v>
      </c>
      <c r="D18" s="29">
        <v>2358.7199999999998</v>
      </c>
      <c r="F18" s="27"/>
      <c r="G18" s="28"/>
      <c r="H18" s="28"/>
      <c r="I18" s="28"/>
    </row>
    <row r="19" spans="1:9" x14ac:dyDescent="0.3">
      <c r="A19" s="3">
        <v>41279</v>
      </c>
      <c r="B19" s="2" t="s">
        <v>10</v>
      </c>
      <c r="C19" s="24">
        <v>503.1</v>
      </c>
      <c r="D19" s="29">
        <v>251.56</v>
      </c>
      <c r="F19" s="27"/>
      <c r="G19" s="28"/>
      <c r="H19" s="28"/>
      <c r="I19" s="28"/>
    </row>
    <row r="20" spans="1:9" x14ac:dyDescent="0.3">
      <c r="A20" s="3">
        <v>41279</v>
      </c>
      <c r="B20" s="2" t="s">
        <v>72</v>
      </c>
      <c r="C20" s="24">
        <v>3938.4</v>
      </c>
      <c r="D20" s="29">
        <v>1890.4</v>
      </c>
      <c r="F20" s="27"/>
      <c r="G20" s="28"/>
      <c r="H20" s="28"/>
      <c r="I20" s="28"/>
    </row>
    <row r="21" spans="1:9" x14ac:dyDescent="0.3">
      <c r="A21" s="3">
        <v>41279</v>
      </c>
      <c r="B21" s="2" t="s">
        <v>10</v>
      </c>
      <c r="C21" s="24">
        <v>464.96</v>
      </c>
      <c r="D21" s="29">
        <v>237.12</v>
      </c>
      <c r="F21" s="27"/>
      <c r="G21" s="28"/>
      <c r="H21" s="28"/>
      <c r="I21" s="28"/>
    </row>
    <row r="62" spans="1:2" x14ac:dyDescent="0.3">
      <c r="A62" s="14" t="s">
        <v>71</v>
      </c>
    </row>
    <row r="63" spans="1:2" x14ac:dyDescent="0.3">
      <c r="A63" s="18" t="s">
        <v>3</v>
      </c>
      <c r="B63" s="18" t="s">
        <v>2</v>
      </c>
    </row>
    <row r="64" spans="1:2" x14ac:dyDescent="0.3">
      <c r="A64" s="7">
        <v>1000</v>
      </c>
      <c r="B64" s="7" t="s">
        <v>70</v>
      </c>
    </row>
    <row r="67" spans="1:6" x14ac:dyDescent="0.3">
      <c r="A67" s="1" t="s">
        <v>26</v>
      </c>
      <c r="B67" s="1" t="s">
        <v>0</v>
      </c>
      <c r="C67" s="1" t="s">
        <v>1</v>
      </c>
      <c r="D67" s="1" t="s">
        <v>2</v>
      </c>
      <c r="E67" s="1" t="s">
        <v>3</v>
      </c>
      <c r="F67" s="1" t="s">
        <v>4</v>
      </c>
    </row>
    <row r="68" spans="1:6" x14ac:dyDescent="0.3">
      <c r="A68" s="2">
        <v>659439</v>
      </c>
      <c r="B68" s="3">
        <v>41275</v>
      </c>
      <c r="C68" s="2" t="s">
        <v>27</v>
      </c>
      <c r="D68" s="2" t="s">
        <v>5</v>
      </c>
      <c r="E68" s="4">
        <v>1232.44</v>
      </c>
      <c r="F68" s="4">
        <v>591.58000000000004</v>
      </c>
    </row>
    <row r="69" spans="1:6" x14ac:dyDescent="0.3">
      <c r="A69" s="2">
        <v>659440</v>
      </c>
      <c r="B69" s="3">
        <v>41276</v>
      </c>
      <c r="C69" s="2" t="s">
        <v>6</v>
      </c>
      <c r="D69" s="2" t="s">
        <v>7</v>
      </c>
      <c r="E69" s="4">
        <v>451.2</v>
      </c>
      <c r="F69" s="4">
        <v>212.08</v>
      </c>
    </row>
    <row r="70" spans="1:6" x14ac:dyDescent="0.3">
      <c r="A70" s="2">
        <v>659440</v>
      </c>
      <c r="B70" s="3">
        <v>41276</v>
      </c>
      <c r="C70" s="2" t="s">
        <v>27</v>
      </c>
      <c r="D70" s="2" t="s">
        <v>8</v>
      </c>
      <c r="E70" s="4">
        <v>357.5</v>
      </c>
      <c r="F70" s="4">
        <v>193.06</v>
      </c>
    </row>
    <row r="71" spans="1:6" x14ac:dyDescent="0.3">
      <c r="A71" s="2">
        <v>659440</v>
      </c>
      <c r="B71" s="3">
        <v>41276</v>
      </c>
      <c r="C71" s="2" t="s">
        <v>6</v>
      </c>
      <c r="D71" s="2" t="s">
        <v>9</v>
      </c>
      <c r="E71" s="4">
        <v>1957.6</v>
      </c>
      <c r="F71" s="4">
        <v>1037.55</v>
      </c>
    </row>
    <row r="72" spans="1:6" x14ac:dyDescent="0.3">
      <c r="A72" s="2">
        <v>659441</v>
      </c>
      <c r="B72" s="3">
        <v>41277</v>
      </c>
      <c r="C72" s="2" t="s">
        <v>27</v>
      </c>
      <c r="D72" s="2" t="s">
        <v>5</v>
      </c>
      <c r="E72" s="4">
        <v>561.67999999999995</v>
      </c>
      <c r="F72" s="4">
        <v>303.31</v>
      </c>
    </row>
    <row r="73" spans="1:6" x14ac:dyDescent="0.3">
      <c r="A73" s="2">
        <v>659441</v>
      </c>
      <c r="B73" s="3">
        <v>41277</v>
      </c>
      <c r="C73" s="2" t="s">
        <v>27</v>
      </c>
      <c r="D73" s="2" t="s">
        <v>8</v>
      </c>
      <c r="E73" s="4">
        <v>1980</v>
      </c>
      <c r="F73" s="4">
        <v>990</v>
      </c>
    </row>
    <row r="74" spans="1:6" x14ac:dyDescent="0.3">
      <c r="A74" s="2">
        <v>659442</v>
      </c>
      <c r="B74" s="3">
        <v>41278</v>
      </c>
      <c r="C74" s="2" t="s">
        <v>27</v>
      </c>
      <c r="D74" s="2" t="s">
        <v>5</v>
      </c>
      <c r="E74" s="4">
        <v>2772</v>
      </c>
      <c r="F74" s="4">
        <v>1469.16</v>
      </c>
    </row>
    <row r="75" spans="1:6" x14ac:dyDescent="0.3">
      <c r="A75" s="2">
        <v>659443</v>
      </c>
      <c r="B75" s="3">
        <v>41279</v>
      </c>
      <c r="C75" s="2" t="s">
        <v>27</v>
      </c>
      <c r="D75" s="2" t="s">
        <v>5</v>
      </c>
      <c r="E75" s="4">
        <v>4536</v>
      </c>
      <c r="F75" s="4">
        <v>2358.7199999999998</v>
      </c>
    </row>
    <row r="76" spans="1:6" x14ac:dyDescent="0.3">
      <c r="A76" s="2">
        <v>659443</v>
      </c>
      <c r="B76" s="3">
        <v>41279</v>
      </c>
      <c r="C76" s="2" t="s">
        <v>27</v>
      </c>
      <c r="D76" s="2" t="s">
        <v>10</v>
      </c>
      <c r="E76" s="4">
        <v>503.1</v>
      </c>
      <c r="F76" s="4">
        <v>251.56</v>
      </c>
    </row>
    <row r="77" spans="1:6" x14ac:dyDescent="0.3">
      <c r="A77" s="2">
        <v>659444</v>
      </c>
      <c r="B77" s="3">
        <v>41279</v>
      </c>
      <c r="C77" s="2" t="s">
        <v>6</v>
      </c>
      <c r="D77" s="2" t="s">
        <v>9</v>
      </c>
      <c r="E77" s="4">
        <v>3938.4</v>
      </c>
      <c r="F77" s="4">
        <v>1890.4</v>
      </c>
    </row>
    <row r="78" spans="1:6" x14ac:dyDescent="0.3">
      <c r="A78" s="2">
        <v>659444</v>
      </c>
      <c r="B78" s="3">
        <v>41279</v>
      </c>
      <c r="C78" s="2" t="s">
        <v>27</v>
      </c>
      <c r="D78" s="2" t="s">
        <v>10</v>
      </c>
      <c r="E78" s="4">
        <v>464.96</v>
      </c>
      <c r="F78" s="4">
        <v>237.12</v>
      </c>
    </row>
    <row r="79" spans="1:6" x14ac:dyDescent="0.3">
      <c r="A79" s="2">
        <v>659445</v>
      </c>
      <c r="B79" s="3">
        <v>41279</v>
      </c>
      <c r="C79" s="2" t="s">
        <v>27</v>
      </c>
      <c r="D79" s="2" t="s">
        <v>8</v>
      </c>
      <c r="E79" s="4">
        <v>1650</v>
      </c>
      <c r="F79" s="4">
        <v>792</v>
      </c>
    </row>
    <row r="80" spans="1:6" x14ac:dyDescent="0.3">
      <c r="A80" s="2">
        <v>659445</v>
      </c>
      <c r="B80" s="3">
        <v>41279</v>
      </c>
      <c r="C80" s="2" t="s">
        <v>28</v>
      </c>
      <c r="D80" s="2" t="s">
        <v>11</v>
      </c>
      <c r="E80" s="4">
        <v>114</v>
      </c>
      <c r="F80" s="4">
        <v>55.86</v>
      </c>
    </row>
    <row r="81" spans="1:6" x14ac:dyDescent="0.3">
      <c r="A81" s="2">
        <v>659446</v>
      </c>
      <c r="B81" s="3">
        <v>41279</v>
      </c>
      <c r="C81" s="2" t="s">
        <v>28</v>
      </c>
      <c r="D81" s="2" t="s">
        <v>12</v>
      </c>
      <c r="E81" s="4">
        <v>1008.72</v>
      </c>
      <c r="F81" s="4">
        <v>504.36</v>
      </c>
    </row>
    <row r="82" spans="1:6" x14ac:dyDescent="0.3">
      <c r="A82" s="2">
        <v>659446</v>
      </c>
      <c r="B82" s="3">
        <v>41279</v>
      </c>
      <c r="C82" s="2" t="s">
        <v>28</v>
      </c>
      <c r="D82" s="2" t="s">
        <v>11</v>
      </c>
      <c r="E82" s="4">
        <v>730.2</v>
      </c>
      <c r="F82" s="4">
        <v>365.1</v>
      </c>
    </row>
    <row r="83" spans="1:6" x14ac:dyDescent="0.3">
      <c r="A83" s="2">
        <v>659446</v>
      </c>
      <c r="B83" s="3">
        <v>41279</v>
      </c>
      <c r="C83" s="2" t="s">
        <v>27</v>
      </c>
      <c r="D83" s="2" t="s">
        <v>13</v>
      </c>
      <c r="E83" s="4">
        <v>3174</v>
      </c>
      <c r="F83" s="4">
        <v>1713.96</v>
      </c>
    </row>
    <row r="84" spans="1:6" x14ac:dyDescent="0.3">
      <c r="A84" s="2">
        <v>659446</v>
      </c>
      <c r="B84" s="3">
        <v>41279</v>
      </c>
      <c r="C84" s="2" t="s">
        <v>27</v>
      </c>
      <c r="D84" s="2" t="s">
        <v>5</v>
      </c>
      <c r="E84" s="4">
        <v>2304</v>
      </c>
      <c r="F84" s="4">
        <v>1082.8800000000001</v>
      </c>
    </row>
    <row r="85" spans="1:6" x14ac:dyDescent="0.3">
      <c r="A85" s="2">
        <v>659446</v>
      </c>
      <c r="B85" s="3">
        <v>41279</v>
      </c>
      <c r="C85" s="2" t="s">
        <v>27</v>
      </c>
      <c r="D85" s="2" t="s">
        <v>5</v>
      </c>
      <c r="E85" s="4">
        <v>2744.98</v>
      </c>
      <c r="F85" s="4">
        <v>1317.61</v>
      </c>
    </row>
    <row r="86" spans="1:6" x14ac:dyDescent="0.3">
      <c r="A86" s="2">
        <v>659446</v>
      </c>
      <c r="B86" s="3">
        <v>41279</v>
      </c>
      <c r="C86" s="2" t="s">
        <v>27</v>
      </c>
      <c r="D86" s="2" t="s">
        <v>5</v>
      </c>
      <c r="E86" s="4">
        <v>3361.2</v>
      </c>
      <c r="F86" s="4">
        <v>1579.75</v>
      </c>
    </row>
    <row r="87" spans="1:6" x14ac:dyDescent="0.3">
      <c r="A87" s="2">
        <v>659447</v>
      </c>
      <c r="B87" s="3">
        <v>41279</v>
      </c>
      <c r="C87" s="2" t="s">
        <v>28</v>
      </c>
      <c r="D87" s="2" t="s">
        <v>14</v>
      </c>
      <c r="E87" s="4">
        <v>48.48</v>
      </c>
      <c r="F87" s="4">
        <v>25.2</v>
      </c>
    </row>
    <row r="88" spans="1:6" x14ac:dyDescent="0.3">
      <c r="A88" s="2">
        <v>659447</v>
      </c>
      <c r="B88" s="3">
        <v>41279</v>
      </c>
      <c r="C88" s="2" t="s">
        <v>28</v>
      </c>
      <c r="D88" s="2" t="s">
        <v>15</v>
      </c>
      <c r="E88" s="4">
        <v>1664</v>
      </c>
      <c r="F88" s="4">
        <v>881.92</v>
      </c>
    </row>
    <row r="89" spans="1:6" x14ac:dyDescent="0.3">
      <c r="A89" s="2">
        <v>659448</v>
      </c>
      <c r="B89" s="3">
        <v>41280</v>
      </c>
      <c r="C89" s="2" t="s">
        <v>28</v>
      </c>
      <c r="D89" s="2" t="s">
        <v>11</v>
      </c>
      <c r="E89" s="4">
        <v>670.4</v>
      </c>
      <c r="F89" s="4">
        <v>355.28</v>
      </c>
    </row>
    <row r="90" spans="1:6" x14ac:dyDescent="0.3">
      <c r="A90" s="2">
        <v>659449</v>
      </c>
      <c r="B90" s="3">
        <v>41281</v>
      </c>
      <c r="C90" s="2" t="s">
        <v>27</v>
      </c>
      <c r="D90" s="2" t="s">
        <v>13</v>
      </c>
      <c r="E90" s="4">
        <v>611.41999999999996</v>
      </c>
      <c r="F90" s="4">
        <v>324.06</v>
      </c>
    </row>
    <row r="91" spans="1:6" x14ac:dyDescent="0.3">
      <c r="A91" s="2">
        <v>659450</v>
      </c>
      <c r="B91" s="3">
        <v>41282</v>
      </c>
      <c r="C91" s="2" t="s">
        <v>27</v>
      </c>
      <c r="D91" s="2" t="s">
        <v>5</v>
      </c>
      <c r="E91" s="4">
        <v>962.88</v>
      </c>
      <c r="F91" s="4">
        <v>510.32</v>
      </c>
    </row>
    <row r="92" spans="1:6" x14ac:dyDescent="0.3">
      <c r="A92" s="2">
        <v>659451</v>
      </c>
      <c r="B92" s="3">
        <v>41283</v>
      </c>
      <c r="C92" s="2" t="s">
        <v>6</v>
      </c>
      <c r="D92" s="2" t="s">
        <v>7</v>
      </c>
      <c r="E92" s="4">
        <v>203.04</v>
      </c>
      <c r="F92" s="4">
        <v>95.4</v>
      </c>
    </row>
    <row r="93" spans="1:6" x14ac:dyDescent="0.3">
      <c r="A93" s="2">
        <v>659451</v>
      </c>
      <c r="B93" s="3">
        <v>41283</v>
      </c>
      <c r="C93" s="2" t="s">
        <v>6</v>
      </c>
      <c r="D93" s="2" t="s">
        <v>16</v>
      </c>
      <c r="E93" s="4">
        <v>256.2</v>
      </c>
      <c r="F93" s="4">
        <v>140.9</v>
      </c>
    </row>
    <row r="94" spans="1:6" x14ac:dyDescent="0.3">
      <c r="A94" s="2">
        <v>659452</v>
      </c>
      <c r="B94" s="3">
        <v>41284</v>
      </c>
      <c r="C94" s="2" t="s">
        <v>28</v>
      </c>
      <c r="D94" s="2" t="s">
        <v>14</v>
      </c>
      <c r="E94" s="4">
        <v>1360</v>
      </c>
      <c r="F94" s="4">
        <v>639.20000000000005</v>
      </c>
    </row>
    <row r="95" spans="1:6" x14ac:dyDescent="0.3">
      <c r="A95" s="2">
        <v>659453</v>
      </c>
      <c r="B95" s="3">
        <v>41284</v>
      </c>
      <c r="C95" s="2" t="s">
        <v>6</v>
      </c>
      <c r="D95" s="2" t="s">
        <v>17</v>
      </c>
      <c r="E95" s="4">
        <v>4309.2</v>
      </c>
      <c r="F95" s="4">
        <v>2326.9499999999998</v>
      </c>
    </row>
    <row r="96" spans="1:6" x14ac:dyDescent="0.3">
      <c r="A96" s="2">
        <v>659453</v>
      </c>
      <c r="B96" s="3">
        <v>41284</v>
      </c>
      <c r="C96" s="2" t="s">
        <v>6</v>
      </c>
      <c r="D96" s="2" t="s">
        <v>7</v>
      </c>
      <c r="E96" s="4">
        <v>241.28</v>
      </c>
      <c r="F96" s="4">
        <v>132.72</v>
      </c>
    </row>
    <row r="97" spans="1:6" x14ac:dyDescent="0.3">
      <c r="A97" s="2">
        <v>659454</v>
      </c>
      <c r="B97" s="3">
        <v>41285</v>
      </c>
      <c r="C97" s="2" t="s">
        <v>28</v>
      </c>
      <c r="D97" s="2" t="s">
        <v>12</v>
      </c>
      <c r="E97" s="4">
        <v>1672</v>
      </c>
      <c r="F97" s="4">
        <v>819.28</v>
      </c>
    </row>
    <row r="98" spans="1:6" x14ac:dyDescent="0.3">
      <c r="A98" s="2">
        <v>659455</v>
      </c>
      <c r="B98" s="3">
        <v>41285</v>
      </c>
      <c r="C98" s="2" t="s">
        <v>27</v>
      </c>
      <c r="D98" s="2" t="s">
        <v>10</v>
      </c>
      <c r="E98" s="4">
        <v>2631.6</v>
      </c>
      <c r="F98" s="4">
        <v>1421.04</v>
      </c>
    </row>
    <row r="99" spans="1:6" x14ac:dyDescent="0.3">
      <c r="A99" s="2">
        <v>659455</v>
      </c>
      <c r="B99" s="3">
        <v>41285</v>
      </c>
      <c r="C99" s="2" t="s">
        <v>28</v>
      </c>
      <c r="D99" s="2" t="s">
        <v>11</v>
      </c>
      <c r="E99" s="4">
        <v>368.72</v>
      </c>
      <c r="F99" s="4">
        <v>188.04</v>
      </c>
    </row>
    <row r="100" spans="1:6" x14ac:dyDescent="0.3">
      <c r="A100" s="2">
        <v>659455</v>
      </c>
      <c r="B100" s="3">
        <v>41285</v>
      </c>
      <c r="C100" s="2" t="s">
        <v>28</v>
      </c>
      <c r="D100" s="2" t="s">
        <v>14</v>
      </c>
      <c r="E100" s="4">
        <v>1632</v>
      </c>
      <c r="F100" s="4">
        <v>767.04</v>
      </c>
    </row>
    <row r="101" spans="1:6" x14ac:dyDescent="0.3">
      <c r="A101" s="2">
        <v>659455</v>
      </c>
      <c r="B101" s="3">
        <v>41285</v>
      </c>
      <c r="C101" s="2" t="s">
        <v>28</v>
      </c>
      <c r="D101" s="2" t="s">
        <v>11</v>
      </c>
      <c r="E101" s="4">
        <v>670.4</v>
      </c>
      <c r="F101" s="4">
        <v>341.92</v>
      </c>
    </row>
    <row r="102" spans="1:6" x14ac:dyDescent="0.3">
      <c r="A102" s="2">
        <v>659455</v>
      </c>
      <c r="B102" s="3">
        <v>41285</v>
      </c>
      <c r="C102" s="2" t="s">
        <v>6</v>
      </c>
      <c r="D102" s="2" t="s">
        <v>16</v>
      </c>
      <c r="E102" s="4">
        <v>39.04</v>
      </c>
      <c r="F102" s="4">
        <v>19.52</v>
      </c>
    </row>
    <row r="103" spans="1:6" x14ac:dyDescent="0.3">
      <c r="A103" s="2">
        <v>659455</v>
      </c>
      <c r="B103" s="3">
        <v>41285</v>
      </c>
      <c r="C103" s="2" t="s">
        <v>6</v>
      </c>
      <c r="D103" s="2" t="s">
        <v>7</v>
      </c>
      <c r="E103" s="4">
        <v>394.8</v>
      </c>
      <c r="F103" s="4">
        <v>197.4</v>
      </c>
    </row>
    <row r="104" spans="1:6" x14ac:dyDescent="0.3">
      <c r="A104" s="2">
        <v>659455</v>
      </c>
      <c r="B104" s="3">
        <v>41285</v>
      </c>
      <c r="C104" s="2" t="s">
        <v>28</v>
      </c>
      <c r="D104" s="2" t="s">
        <v>11</v>
      </c>
      <c r="E104" s="4">
        <v>219.06</v>
      </c>
      <c r="F104" s="4">
        <v>118.3</v>
      </c>
    </row>
    <row r="105" spans="1:6" x14ac:dyDescent="0.3">
      <c r="A105" s="2">
        <v>659455</v>
      </c>
      <c r="B105" s="3">
        <v>41285</v>
      </c>
      <c r="C105" s="2" t="s">
        <v>27</v>
      </c>
      <c r="D105" s="2" t="s">
        <v>5</v>
      </c>
      <c r="E105" s="4">
        <v>200.6</v>
      </c>
      <c r="F105" s="4">
        <v>106.32</v>
      </c>
    </row>
    <row r="106" spans="1:6" x14ac:dyDescent="0.3">
      <c r="A106" s="2">
        <v>659456</v>
      </c>
      <c r="B106" s="3">
        <v>41286</v>
      </c>
      <c r="C106" s="2" t="s">
        <v>27</v>
      </c>
      <c r="D106" s="2" t="s">
        <v>13</v>
      </c>
      <c r="E106" s="4">
        <v>1150</v>
      </c>
      <c r="F106" s="4">
        <v>552</v>
      </c>
    </row>
    <row r="107" spans="1:6" x14ac:dyDescent="0.3">
      <c r="A107" s="2">
        <v>659456</v>
      </c>
      <c r="B107" s="3">
        <v>41286</v>
      </c>
      <c r="C107" s="2" t="s">
        <v>28</v>
      </c>
      <c r="D107" s="2" t="s">
        <v>12</v>
      </c>
      <c r="E107" s="4">
        <v>495</v>
      </c>
      <c r="F107" s="4">
        <v>237.6</v>
      </c>
    </row>
    <row r="108" spans="1:6" x14ac:dyDescent="0.3">
      <c r="A108" s="2">
        <v>659456</v>
      </c>
      <c r="B108" s="3">
        <v>41286</v>
      </c>
      <c r="C108" s="2" t="s">
        <v>6</v>
      </c>
      <c r="D108" s="2" t="s">
        <v>16</v>
      </c>
      <c r="E108" s="4">
        <v>51.24</v>
      </c>
      <c r="F108" s="4">
        <v>27.16</v>
      </c>
    </row>
    <row r="109" spans="1:6" x14ac:dyDescent="0.3">
      <c r="A109" s="2">
        <v>659457</v>
      </c>
      <c r="B109" s="3">
        <v>41286</v>
      </c>
      <c r="C109" s="2" t="s">
        <v>6</v>
      </c>
      <c r="D109" s="2" t="s">
        <v>16</v>
      </c>
      <c r="E109" s="4">
        <v>40.26</v>
      </c>
      <c r="F109" s="4">
        <v>21.33</v>
      </c>
    </row>
    <row r="110" spans="1:6" x14ac:dyDescent="0.3">
      <c r="A110" s="2">
        <v>659457</v>
      </c>
      <c r="B110" s="3">
        <v>41286</v>
      </c>
      <c r="C110" s="2" t="s">
        <v>28</v>
      </c>
      <c r="D110" s="2" t="s">
        <v>14</v>
      </c>
      <c r="E110" s="4">
        <v>60.6</v>
      </c>
      <c r="F110" s="4">
        <v>28.5</v>
      </c>
    </row>
    <row r="111" spans="1:6" x14ac:dyDescent="0.3">
      <c r="A111" s="2">
        <v>659457</v>
      </c>
      <c r="B111" s="3">
        <v>41286</v>
      </c>
      <c r="C111" s="2" t="s">
        <v>28</v>
      </c>
      <c r="D111" s="2" t="s">
        <v>11</v>
      </c>
      <c r="E111" s="4">
        <v>2394</v>
      </c>
      <c r="F111" s="4">
        <v>1292.76</v>
      </c>
    </row>
    <row r="112" spans="1:6" x14ac:dyDescent="0.3">
      <c r="A112" s="2">
        <v>659458</v>
      </c>
      <c r="B112" s="3">
        <v>41287</v>
      </c>
      <c r="C112" s="2" t="s">
        <v>6</v>
      </c>
      <c r="D112" s="2" t="s">
        <v>16</v>
      </c>
      <c r="E112" s="4">
        <v>207.36</v>
      </c>
      <c r="F112" s="4">
        <v>107.82</v>
      </c>
    </row>
    <row r="113" spans="1:6" x14ac:dyDescent="0.3">
      <c r="A113" s="2">
        <v>659458</v>
      </c>
      <c r="B113" s="3">
        <v>41287</v>
      </c>
      <c r="C113" s="2" t="s">
        <v>6</v>
      </c>
      <c r="D113" s="2" t="s">
        <v>17</v>
      </c>
      <c r="E113" s="4">
        <v>1316.7</v>
      </c>
      <c r="F113" s="4">
        <v>618.84</v>
      </c>
    </row>
    <row r="114" spans="1:6" x14ac:dyDescent="0.3">
      <c r="A114" s="2">
        <v>659459</v>
      </c>
      <c r="B114" s="3">
        <v>41288</v>
      </c>
      <c r="C114" s="2" t="s">
        <v>6</v>
      </c>
      <c r="D114" s="2" t="s">
        <v>16</v>
      </c>
      <c r="E114" s="4">
        <v>183</v>
      </c>
      <c r="F114" s="4">
        <v>95.2</v>
      </c>
    </row>
  </sheetData>
  <sheetProtection algorithmName="SHA-512" hashValue="cssx3DCzRqzpTkMINk6n3KZbgLZFmu5a3UikKOTYiIs2IakvTgby8PtfqEITvDQ8IfRTfiUL0Dy6AIgyEubfkg==" saltValue="HhHjpw6Ifh39C8XoE8U1dg==" spinCount="100000" sheet="1" objects="1" scenarios="1"/>
  <mergeCells count="2">
    <mergeCell ref="C7:F7"/>
    <mergeCell ref="C8:F8"/>
  </mergeCells>
  <conditionalFormatting sqref="B11:B21">
    <cfRule type="containsText" dxfId="28" priority="3" operator="containsText" text="Fun">
      <formula>NOT(ISERROR(SEARCH("Fun",B11)))</formula>
    </cfRule>
  </conditionalFormatting>
  <conditionalFormatting sqref="C11:C21">
    <cfRule type="cellIs" dxfId="27" priority="4" operator="greaterThan">
      <formula>1000</formula>
    </cfRule>
  </conditionalFormatting>
  <conditionalFormatting sqref="H11:H21">
    <cfRule type="cellIs" dxfId="25" priority="2" operator="greaterThan">
      <formula>$G$7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F7C04EA-3BD5-4CF4-988E-66AC26ACCBD9}">
            <xm:f>NOT(ISERROR(SEARCH($G$8,G11)))</xm:f>
            <xm:f>$G$8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G11:G21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00FF"/>
  </sheetPr>
  <dimension ref="A2:I17"/>
  <sheetViews>
    <sheetView zoomScale="115" zoomScaleNormal="115" workbookViewId="0">
      <selection activeCell="B21" sqref="B21"/>
    </sheetView>
  </sheetViews>
  <sheetFormatPr defaultRowHeight="14.4" x14ac:dyDescent="0.3"/>
  <cols>
    <col min="1" max="1" width="12.21875" customWidth="1"/>
    <col min="2" max="2" width="10.77734375" bestFit="1" customWidth="1"/>
    <col min="3" max="3" width="14.21875" customWidth="1"/>
    <col min="4" max="4" width="11.77734375" customWidth="1"/>
    <col min="5" max="5" width="12.44140625" customWidth="1"/>
    <col min="6" max="6" width="12.21875" bestFit="1" customWidth="1"/>
    <col min="7" max="7" width="10.77734375" bestFit="1" customWidth="1"/>
    <col min="8" max="8" width="14.21875" customWidth="1"/>
    <col min="9" max="9" width="11.77734375" customWidth="1"/>
  </cols>
  <sheetData>
    <row r="2" spans="1:9" x14ac:dyDescent="0.3">
      <c r="A2" s="110" t="s">
        <v>77</v>
      </c>
      <c r="B2" s="110"/>
      <c r="C2" s="110"/>
      <c r="D2" s="110"/>
      <c r="E2" s="110"/>
      <c r="F2" s="110"/>
    </row>
    <row r="3" spans="1:9" x14ac:dyDescent="0.3">
      <c r="A3" s="5" t="s">
        <v>21</v>
      </c>
    </row>
    <row r="4" spans="1:9" x14ac:dyDescent="0.3">
      <c r="A4" s="111" t="s">
        <v>29</v>
      </c>
      <c r="B4" s="111"/>
      <c r="G4" s="111" t="s">
        <v>31</v>
      </c>
      <c r="H4" s="111"/>
    </row>
    <row r="6" spans="1:9" x14ac:dyDescent="0.3">
      <c r="A6" s="1" t="s">
        <v>0</v>
      </c>
      <c r="B6" s="1" t="s">
        <v>2</v>
      </c>
      <c r="C6" s="1" t="s">
        <v>3</v>
      </c>
      <c r="D6" s="1" t="s">
        <v>4</v>
      </c>
      <c r="F6" s="1" t="s">
        <v>0</v>
      </c>
      <c r="G6" s="1" t="s">
        <v>2</v>
      </c>
      <c r="H6" s="1" t="s">
        <v>3</v>
      </c>
      <c r="I6" s="1" t="s">
        <v>4</v>
      </c>
    </row>
    <row r="7" spans="1:9" x14ac:dyDescent="0.3">
      <c r="A7" s="3">
        <v>41275</v>
      </c>
      <c r="B7" s="2" t="s">
        <v>5</v>
      </c>
      <c r="C7" s="22">
        <v>1232.44</v>
      </c>
      <c r="D7" s="22">
        <v>591.58000000000004</v>
      </c>
      <c r="E7" s="23"/>
      <c r="F7" s="22">
        <v>41275</v>
      </c>
      <c r="G7" s="22" t="s">
        <v>5</v>
      </c>
      <c r="H7" s="22">
        <v>1232.44</v>
      </c>
      <c r="I7" s="22">
        <v>591.58000000000004</v>
      </c>
    </row>
    <row r="8" spans="1:9" x14ac:dyDescent="0.3">
      <c r="A8" s="3">
        <v>41276</v>
      </c>
      <c r="B8" s="2" t="s">
        <v>7</v>
      </c>
      <c r="C8" s="22">
        <v>1000</v>
      </c>
      <c r="D8" s="22">
        <v>212.08</v>
      </c>
      <c r="E8" s="23"/>
      <c r="F8" s="22">
        <v>41276</v>
      </c>
      <c r="G8" s="22" t="s">
        <v>7</v>
      </c>
      <c r="H8" s="22">
        <v>1000</v>
      </c>
      <c r="I8" s="22">
        <v>212.08</v>
      </c>
    </row>
    <row r="9" spans="1:9" x14ac:dyDescent="0.3">
      <c r="A9" s="3">
        <v>41276</v>
      </c>
      <c r="B9" s="2" t="s">
        <v>8</v>
      </c>
      <c r="C9" s="22">
        <v>357.5</v>
      </c>
      <c r="D9" s="22">
        <v>193.06</v>
      </c>
      <c r="E9" s="23"/>
      <c r="F9" s="22">
        <v>41276</v>
      </c>
      <c r="G9" s="22" t="s">
        <v>8</v>
      </c>
      <c r="H9" s="22">
        <v>357.5</v>
      </c>
      <c r="I9" s="22">
        <v>193.06</v>
      </c>
    </row>
    <row r="10" spans="1:9" x14ac:dyDescent="0.3">
      <c r="A10" s="3">
        <v>41276</v>
      </c>
      <c r="B10" s="2" t="s">
        <v>9</v>
      </c>
      <c r="C10" s="22">
        <v>1957.6</v>
      </c>
      <c r="D10" s="22">
        <v>1037.55</v>
      </c>
      <c r="E10" s="23"/>
      <c r="F10" s="22">
        <v>41276</v>
      </c>
      <c r="G10" s="22" t="s">
        <v>9</v>
      </c>
      <c r="H10" s="22">
        <v>1957.6</v>
      </c>
      <c r="I10" s="22">
        <v>1037.55</v>
      </c>
    </row>
    <row r="11" spans="1:9" x14ac:dyDescent="0.3">
      <c r="A11" s="3">
        <v>41277</v>
      </c>
      <c r="B11" s="2" t="s">
        <v>5</v>
      </c>
      <c r="C11" s="22">
        <v>561.67999999999995</v>
      </c>
      <c r="D11" s="22">
        <v>303.31</v>
      </c>
      <c r="E11" s="23"/>
      <c r="F11" s="22">
        <v>41277</v>
      </c>
      <c r="G11" s="22" t="s">
        <v>5</v>
      </c>
      <c r="H11" s="22">
        <v>561.67999999999995</v>
      </c>
      <c r="I11" s="22">
        <v>303.31</v>
      </c>
    </row>
    <row r="12" spans="1:9" x14ac:dyDescent="0.3">
      <c r="A12" s="3">
        <v>41277</v>
      </c>
      <c r="B12" s="2" t="s">
        <v>16</v>
      </c>
      <c r="C12" s="22">
        <v>1980</v>
      </c>
      <c r="D12" s="22">
        <v>990</v>
      </c>
      <c r="E12" s="23"/>
      <c r="F12" s="22">
        <v>41277</v>
      </c>
      <c r="G12" s="22" t="s">
        <v>16</v>
      </c>
      <c r="H12" s="22">
        <v>1980</v>
      </c>
      <c r="I12" s="22">
        <v>990</v>
      </c>
    </row>
    <row r="13" spans="1:9" x14ac:dyDescent="0.3">
      <c r="A13" s="3">
        <v>41278</v>
      </c>
      <c r="B13" s="2" t="s">
        <v>5</v>
      </c>
      <c r="C13" s="22">
        <v>2772</v>
      </c>
      <c r="D13" s="22">
        <v>1469.16</v>
      </c>
      <c r="E13" s="23"/>
      <c r="F13" s="22">
        <v>41278</v>
      </c>
      <c r="G13" s="22" t="s">
        <v>5</v>
      </c>
      <c r="H13" s="22">
        <v>2772</v>
      </c>
      <c r="I13" s="22">
        <v>1469.16</v>
      </c>
    </row>
    <row r="14" spans="1:9" x14ac:dyDescent="0.3">
      <c r="A14" s="3">
        <v>41279</v>
      </c>
      <c r="B14" s="2" t="s">
        <v>5</v>
      </c>
      <c r="C14" s="22">
        <v>4536</v>
      </c>
      <c r="D14" s="22">
        <v>2358.7199999999998</v>
      </c>
      <c r="E14" s="23"/>
      <c r="F14" s="22">
        <v>41279</v>
      </c>
      <c r="G14" s="22" t="s">
        <v>5</v>
      </c>
      <c r="H14" s="22">
        <v>4536</v>
      </c>
      <c r="I14" s="22">
        <v>2358.7199999999998</v>
      </c>
    </row>
    <row r="15" spans="1:9" x14ac:dyDescent="0.3">
      <c r="A15" s="3">
        <v>41279</v>
      </c>
      <c r="B15" s="2" t="s">
        <v>10</v>
      </c>
      <c r="C15" s="22">
        <v>503.1</v>
      </c>
      <c r="D15" s="22">
        <v>251.56</v>
      </c>
      <c r="E15" s="23"/>
      <c r="F15" s="22">
        <v>41279</v>
      </c>
      <c r="G15" s="22" t="s">
        <v>10</v>
      </c>
      <c r="H15" s="22">
        <v>503.1</v>
      </c>
      <c r="I15" s="22">
        <v>251.56</v>
      </c>
    </row>
    <row r="16" spans="1:9" x14ac:dyDescent="0.3">
      <c r="A16" s="3">
        <v>41279</v>
      </c>
      <c r="B16" s="2" t="s">
        <v>72</v>
      </c>
      <c r="C16" s="22">
        <v>3938.4</v>
      </c>
      <c r="D16" s="22">
        <v>1890.4</v>
      </c>
      <c r="E16" s="23"/>
      <c r="F16" s="22">
        <v>41279</v>
      </c>
      <c r="G16" s="22" t="s">
        <v>72</v>
      </c>
      <c r="H16" s="22">
        <v>3938.4</v>
      </c>
      <c r="I16" s="22">
        <v>1890.4</v>
      </c>
    </row>
    <row r="17" spans="1:9" x14ac:dyDescent="0.3">
      <c r="A17" s="3">
        <v>41279</v>
      </c>
      <c r="B17" s="2" t="s">
        <v>10</v>
      </c>
      <c r="C17" s="22">
        <v>464.96</v>
      </c>
      <c r="D17" s="22">
        <v>237.12</v>
      </c>
      <c r="E17" s="23"/>
      <c r="F17" s="22">
        <v>41279</v>
      </c>
      <c r="G17" s="22" t="s">
        <v>10</v>
      </c>
      <c r="H17" s="22">
        <v>464.96</v>
      </c>
      <c r="I17" s="22">
        <v>237.12</v>
      </c>
    </row>
  </sheetData>
  <mergeCells count="3">
    <mergeCell ref="A2:F2"/>
    <mergeCell ref="A4:B4"/>
    <mergeCell ref="G4:H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2:I17"/>
  <sheetViews>
    <sheetView zoomScale="115" zoomScaleNormal="115" workbookViewId="0">
      <selection activeCell="C17" sqref="C17"/>
    </sheetView>
  </sheetViews>
  <sheetFormatPr defaultRowHeight="14.4" x14ac:dyDescent="0.3"/>
  <cols>
    <col min="1" max="1" width="27.109375" bestFit="1" customWidth="1"/>
    <col min="2" max="2" width="10.77734375" bestFit="1" customWidth="1"/>
    <col min="3" max="3" width="14.21875" customWidth="1"/>
    <col min="4" max="4" width="11.77734375" customWidth="1"/>
    <col min="5" max="5" width="12.44140625" customWidth="1"/>
    <col min="6" max="6" width="12.21875" bestFit="1" customWidth="1"/>
    <col min="7" max="7" width="10.77734375" bestFit="1" customWidth="1"/>
    <col min="8" max="8" width="14.21875" customWidth="1"/>
    <col min="9" max="9" width="11.77734375" customWidth="1"/>
  </cols>
  <sheetData>
    <row r="2" spans="1:9" x14ac:dyDescent="0.3">
      <c r="A2" s="110" t="s">
        <v>77</v>
      </c>
      <c r="B2" s="110"/>
      <c r="C2" s="110"/>
      <c r="D2" s="110"/>
      <c r="E2" s="110"/>
      <c r="F2" s="110"/>
    </row>
    <row r="3" spans="1:9" x14ac:dyDescent="0.3">
      <c r="A3" s="5" t="s">
        <v>21</v>
      </c>
    </row>
    <row r="4" spans="1:9" x14ac:dyDescent="0.3">
      <c r="A4" s="111" t="s">
        <v>29</v>
      </c>
      <c r="B4" s="111"/>
      <c r="G4" s="111" t="s">
        <v>31</v>
      </c>
      <c r="H4" s="111"/>
    </row>
    <row r="6" spans="1:9" x14ac:dyDescent="0.3">
      <c r="A6" s="1" t="s">
        <v>0</v>
      </c>
      <c r="B6" s="1" t="s">
        <v>2</v>
      </c>
      <c r="C6" s="1" t="s">
        <v>3</v>
      </c>
      <c r="D6" s="1" t="s">
        <v>4</v>
      </c>
      <c r="F6" s="1" t="s">
        <v>0</v>
      </c>
      <c r="G6" s="1" t="s">
        <v>2</v>
      </c>
      <c r="H6" s="1" t="s">
        <v>3</v>
      </c>
      <c r="I6" s="1" t="s">
        <v>4</v>
      </c>
    </row>
    <row r="7" spans="1:9" x14ac:dyDescent="0.3">
      <c r="A7" s="3">
        <v>41275</v>
      </c>
      <c r="B7" s="2" t="s">
        <v>5</v>
      </c>
      <c r="C7" s="22">
        <v>1232.44</v>
      </c>
      <c r="D7" s="22">
        <v>591.58000000000004</v>
      </c>
      <c r="E7" s="23"/>
      <c r="F7" s="22">
        <v>41275</v>
      </c>
      <c r="G7" s="22" t="s">
        <v>5</v>
      </c>
      <c r="H7" s="22">
        <v>1232.44</v>
      </c>
      <c r="I7" s="22">
        <v>591.58000000000004</v>
      </c>
    </row>
    <row r="8" spans="1:9" x14ac:dyDescent="0.3">
      <c r="A8" s="3">
        <v>41276</v>
      </c>
      <c r="B8" s="2" t="s">
        <v>7</v>
      </c>
      <c r="C8" s="22">
        <v>1000</v>
      </c>
      <c r="D8" s="22">
        <v>212.08</v>
      </c>
      <c r="E8" s="23"/>
      <c r="F8" s="22">
        <v>41276</v>
      </c>
      <c r="G8" s="22" t="s">
        <v>7</v>
      </c>
      <c r="H8" s="22">
        <v>1000</v>
      </c>
      <c r="I8" s="22">
        <v>212.08</v>
      </c>
    </row>
    <row r="9" spans="1:9" x14ac:dyDescent="0.3">
      <c r="A9" s="3">
        <v>41276</v>
      </c>
      <c r="B9" s="2" t="s">
        <v>8</v>
      </c>
      <c r="C9" s="22">
        <v>357.5</v>
      </c>
      <c r="D9" s="22">
        <v>193.06</v>
      </c>
      <c r="E9" s="23"/>
      <c r="F9" s="22">
        <v>41276</v>
      </c>
      <c r="G9" s="22" t="s">
        <v>8</v>
      </c>
      <c r="H9" s="22">
        <v>357.5</v>
      </c>
      <c r="I9" s="22">
        <v>193.06</v>
      </c>
    </row>
    <row r="10" spans="1:9" x14ac:dyDescent="0.3">
      <c r="A10" s="3">
        <v>41276</v>
      </c>
      <c r="B10" s="2" t="s">
        <v>9</v>
      </c>
      <c r="C10" s="22">
        <v>1957.6</v>
      </c>
      <c r="D10" s="22">
        <v>1037.55</v>
      </c>
      <c r="E10" s="23"/>
      <c r="F10" s="22">
        <v>41276</v>
      </c>
      <c r="G10" s="22" t="s">
        <v>9</v>
      </c>
      <c r="H10" s="22">
        <v>1957.6</v>
      </c>
      <c r="I10" s="22">
        <v>1037.55</v>
      </c>
    </row>
    <row r="11" spans="1:9" x14ac:dyDescent="0.3">
      <c r="A11" s="3">
        <v>41277</v>
      </c>
      <c r="B11" s="2" t="s">
        <v>5</v>
      </c>
      <c r="C11" s="22">
        <v>561.67999999999995</v>
      </c>
      <c r="D11" s="22">
        <v>303.31</v>
      </c>
      <c r="E11" s="23"/>
      <c r="F11" s="22">
        <v>41277</v>
      </c>
      <c r="G11" s="22" t="s">
        <v>5</v>
      </c>
      <c r="H11" s="22">
        <v>561.67999999999995</v>
      </c>
      <c r="I11" s="22">
        <v>303.31</v>
      </c>
    </row>
    <row r="12" spans="1:9" x14ac:dyDescent="0.3">
      <c r="A12" s="3">
        <v>41277</v>
      </c>
      <c r="B12" s="2" t="s">
        <v>16</v>
      </c>
      <c r="C12" s="22">
        <v>1980</v>
      </c>
      <c r="D12" s="22">
        <v>990</v>
      </c>
      <c r="E12" s="23"/>
      <c r="F12" s="22">
        <v>41277</v>
      </c>
      <c r="G12" s="22" t="s">
        <v>16</v>
      </c>
      <c r="H12" s="22">
        <v>1980</v>
      </c>
      <c r="I12" s="22">
        <v>990</v>
      </c>
    </row>
    <row r="13" spans="1:9" x14ac:dyDescent="0.3">
      <c r="A13" s="3">
        <v>41278</v>
      </c>
      <c r="B13" s="2" t="s">
        <v>5</v>
      </c>
      <c r="C13" s="22">
        <v>2772</v>
      </c>
      <c r="D13" s="22">
        <v>1469.16</v>
      </c>
      <c r="E13" s="23"/>
      <c r="F13" s="22">
        <v>41278</v>
      </c>
      <c r="G13" s="22" t="s">
        <v>5</v>
      </c>
      <c r="H13" s="22">
        <v>2772</v>
      </c>
      <c r="I13" s="22">
        <v>1469.16</v>
      </c>
    </row>
    <row r="14" spans="1:9" x14ac:dyDescent="0.3">
      <c r="A14" s="3">
        <v>41279</v>
      </c>
      <c r="B14" s="2" t="s">
        <v>5</v>
      </c>
      <c r="C14" s="22">
        <v>4536</v>
      </c>
      <c r="D14" s="22">
        <v>2358.7199999999998</v>
      </c>
      <c r="E14" s="23"/>
      <c r="F14" s="22">
        <v>41279</v>
      </c>
      <c r="G14" s="22" t="s">
        <v>5</v>
      </c>
      <c r="H14" s="22">
        <v>4536</v>
      </c>
      <c r="I14" s="22">
        <v>2358.7199999999998</v>
      </c>
    </row>
    <row r="15" spans="1:9" x14ac:dyDescent="0.3">
      <c r="A15" s="3">
        <v>41279</v>
      </c>
      <c r="B15" s="2" t="s">
        <v>10</v>
      </c>
      <c r="C15" s="22">
        <v>503.1</v>
      </c>
      <c r="D15" s="22">
        <v>251.56</v>
      </c>
      <c r="E15" s="23"/>
      <c r="F15" s="22">
        <v>41279</v>
      </c>
      <c r="G15" s="22" t="s">
        <v>10</v>
      </c>
      <c r="H15" s="22">
        <v>503.1</v>
      </c>
      <c r="I15" s="22">
        <v>251.56</v>
      </c>
    </row>
    <row r="16" spans="1:9" x14ac:dyDescent="0.3">
      <c r="A16" s="3">
        <v>41279</v>
      </c>
      <c r="B16" s="2" t="s">
        <v>72</v>
      </c>
      <c r="C16" s="22">
        <v>3938.4</v>
      </c>
      <c r="D16" s="22">
        <v>1890.4</v>
      </c>
      <c r="E16" s="23"/>
      <c r="F16" s="22">
        <v>41279</v>
      </c>
      <c r="G16" s="22" t="s">
        <v>72</v>
      </c>
      <c r="H16" s="22">
        <v>3938.4</v>
      </c>
      <c r="I16" s="22">
        <v>1890.4</v>
      </c>
    </row>
    <row r="17" spans="1:9" x14ac:dyDescent="0.3">
      <c r="A17" s="3">
        <v>41279</v>
      </c>
      <c r="B17" s="2" t="s">
        <v>10</v>
      </c>
      <c r="C17" s="22">
        <v>464.96</v>
      </c>
      <c r="D17" s="22">
        <v>237.12</v>
      </c>
      <c r="E17" s="23"/>
      <c r="F17" s="22">
        <v>41279</v>
      </c>
      <c r="G17" s="22" t="s">
        <v>10</v>
      </c>
      <c r="H17" s="22">
        <v>464.96</v>
      </c>
      <c r="I17" s="22">
        <v>237.12</v>
      </c>
    </row>
  </sheetData>
  <sheetProtection algorithmName="SHA-512" hashValue="qMutN88Fw3dfG4Lgin+4rIJsoCZNjfs58DYeG11qfDh8ySHr1ImrjQukA/dndkBW7O/ofRjk+TkSz6mH71W18g==" saltValue="J23CcP/GlqLAh2/tiUSbFA==" spinCount="100000" sheet="1" objects="1" scenarios="1"/>
  <mergeCells count="3">
    <mergeCell ref="A2:F2"/>
    <mergeCell ref="A4:B4"/>
    <mergeCell ref="G4:H4"/>
  </mergeCells>
  <conditionalFormatting sqref="C7:C17">
    <cfRule type="top10" dxfId="24" priority="2" rank="3"/>
  </conditionalFormatting>
  <conditionalFormatting sqref="E7:E17">
    <cfRule type="top10" dxfId="23" priority="3" rank="3"/>
  </conditionalFormatting>
  <conditionalFormatting sqref="H7:H17">
    <cfRule type="aboveAverage" dxfId="2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00FF"/>
  </sheetPr>
  <dimension ref="A2:M17"/>
  <sheetViews>
    <sheetView zoomScaleNormal="100" workbookViewId="0">
      <selection activeCell="F19" sqref="F19"/>
    </sheetView>
  </sheetViews>
  <sheetFormatPr defaultColWidth="9.21875" defaultRowHeight="14.4" x14ac:dyDescent="0.3"/>
  <cols>
    <col min="1" max="16384" width="9.21875" style="21"/>
  </cols>
  <sheetData>
    <row r="2" spans="1:13" x14ac:dyDescent="0.3">
      <c r="A2" s="112" t="s">
        <v>23</v>
      </c>
      <c r="B2" s="112"/>
      <c r="C2" s="112"/>
      <c r="D2" s="112"/>
      <c r="E2" s="112"/>
      <c r="F2" s="112"/>
      <c r="G2" s="112"/>
      <c r="H2" s="112"/>
    </row>
    <row r="3" spans="1:13" x14ac:dyDescent="0.3">
      <c r="A3" s="30"/>
    </row>
    <row r="5" spans="1:13" x14ac:dyDescent="0.3">
      <c r="A5" s="113" t="s">
        <v>35</v>
      </c>
      <c r="B5" s="113"/>
      <c r="C5" s="113"/>
      <c r="E5" s="113" t="s">
        <v>34</v>
      </c>
      <c r="F5" s="113"/>
      <c r="G5" s="113"/>
      <c r="H5" s="113"/>
      <c r="I5" s="50"/>
      <c r="J5" s="50"/>
      <c r="K5" s="50"/>
      <c r="L5" s="50"/>
      <c r="M5" s="50"/>
    </row>
    <row r="6" spans="1:13" x14ac:dyDescent="0.3">
      <c r="A6" s="48"/>
      <c r="B6" s="48"/>
      <c r="C6" s="48"/>
      <c r="E6" s="48" t="s">
        <v>87</v>
      </c>
      <c r="F6" s="48"/>
      <c r="G6" s="48"/>
      <c r="H6" s="48"/>
      <c r="I6" s="50"/>
      <c r="J6" s="50"/>
      <c r="K6" s="50"/>
      <c r="L6" s="50"/>
      <c r="M6" s="50"/>
    </row>
    <row r="7" spans="1:13" x14ac:dyDescent="0.3">
      <c r="A7" s="49" t="s">
        <v>32</v>
      </c>
      <c r="E7" s="49" t="s">
        <v>85</v>
      </c>
      <c r="F7" s="49" t="s">
        <v>33</v>
      </c>
      <c r="G7" s="20"/>
      <c r="H7" s="49" t="s">
        <v>86</v>
      </c>
      <c r="I7" s="49" t="s">
        <v>33</v>
      </c>
    </row>
    <row r="8" spans="1:13" x14ac:dyDescent="0.3">
      <c r="A8" s="20">
        <v>19</v>
      </c>
      <c r="E8" s="20">
        <v>19</v>
      </c>
      <c r="F8" s="20">
        <v>19</v>
      </c>
      <c r="G8" s="20"/>
      <c r="H8" s="20">
        <v>92</v>
      </c>
      <c r="I8" s="20">
        <v>92</v>
      </c>
    </row>
    <row r="9" spans="1:13" x14ac:dyDescent="0.3">
      <c r="A9" s="20">
        <v>76</v>
      </c>
      <c r="E9" s="20">
        <v>76</v>
      </c>
      <c r="F9" s="20">
        <v>76</v>
      </c>
      <c r="G9" s="20"/>
      <c r="H9" s="20">
        <v>69</v>
      </c>
      <c r="I9" s="20">
        <v>69</v>
      </c>
    </row>
    <row r="10" spans="1:13" x14ac:dyDescent="0.3">
      <c r="A10" s="20">
        <v>23</v>
      </c>
      <c r="E10" s="20">
        <v>23</v>
      </c>
      <c r="F10" s="20">
        <v>23</v>
      </c>
      <c r="G10" s="20"/>
      <c r="H10" s="20">
        <v>63</v>
      </c>
      <c r="I10" s="20">
        <v>63</v>
      </c>
    </row>
    <row r="11" spans="1:13" x14ac:dyDescent="0.3">
      <c r="A11" s="20">
        <v>92</v>
      </c>
      <c r="E11" s="20">
        <v>92</v>
      </c>
      <c r="F11" s="20">
        <v>92</v>
      </c>
      <c r="G11" s="20"/>
      <c r="H11" s="20">
        <v>50</v>
      </c>
      <c r="I11" s="20">
        <v>50</v>
      </c>
    </row>
    <row r="12" spans="1:13" x14ac:dyDescent="0.3">
      <c r="A12" s="20">
        <v>73</v>
      </c>
      <c r="E12" s="20">
        <v>73</v>
      </c>
      <c r="F12" s="20">
        <v>73</v>
      </c>
      <c r="G12" s="20"/>
      <c r="H12" s="20">
        <v>98</v>
      </c>
      <c r="I12" s="20">
        <v>98</v>
      </c>
    </row>
    <row r="13" spans="1:13" x14ac:dyDescent="0.3">
      <c r="A13" s="20">
        <v>92</v>
      </c>
      <c r="E13" s="20">
        <v>92</v>
      </c>
      <c r="F13" s="20">
        <v>92</v>
      </c>
      <c r="G13" s="20"/>
      <c r="H13" s="20">
        <v>21</v>
      </c>
      <c r="I13" s="20">
        <v>21</v>
      </c>
    </row>
    <row r="14" spans="1:13" x14ac:dyDescent="0.3">
      <c r="A14" s="20">
        <v>36</v>
      </c>
      <c r="E14" s="20">
        <v>36</v>
      </c>
      <c r="F14" s="20">
        <v>36</v>
      </c>
      <c r="G14" s="20"/>
      <c r="H14" s="20">
        <v>27</v>
      </c>
      <c r="I14" s="20">
        <v>27</v>
      </c>
    </row>
    <row r="15" spans="1:13" x14ac:dyDescent="0.3">
      <c r="A15" s="20">
        <v>59</v>
      </c>
      <c r="E15" s="20">
        <v>59</v>
      </c>
      <c r="F15" s="20">
        <v>59</v>
      </c>
      <c r="G15" s="20"/>
      <c r="H15" s="20">
        <v>68</v>
      </c>
      <c r="I15" s="20">
        <v>68</v>
      </c>
    </row>
    <row r="16" spans="1:13" x14ac:dyDescent="0.3">
      <c r="A16" s="20">
        <v>81</v>
      </c>
      <c r="E16" s="20">
        <v>81</v>
      </c>
      <c r="F16" s="20">
        <v>81</v>
      </c>
      <c r="G16" s="20"/>
      <c r="H16" s="20">
        <v>10</v>
      </c>
      <c r="I16" s="20">
        <v>10</v>
      </c>
    </row>
    <row r="17" spans="1:9" x14ac:dyDescent="0.3">
      <c r="A17" s="20">
        <v>98</v>
      </c>
      <c r="E17" s="20">
        <v>98</v>
      </c>
      <c r="F17" s="20">
        <v>98</v>
      </c>
      <c r="G17" s="20"/>
      <c r="H17" s="20">
        <v>89</v>
      </c>
      <c r="I17" s="20">
        <v>89</v>
      </c>
    </row>
  </sheetData>
  <mergeCells count="3">
    <mergeCell ref="A2:H2"/>
    <mergeCell ref="E5:H5"/>
    <mergeCell ref="A5:C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FF0000"/>
  </sheetPr>
  <dimension ref="A2:I16"/>
  <sheetViews>
    <sheetView zoomScaleNormal="100" workbookViewId="0">
      <selection activeCell="I11" sqref="I11"/>
    </sheetView>
  </sheetViews>
  <sheetFormatPr defaultColWidth="9.21875" defaultRowHeight="14.4" x14ac:dyDescent="0.3"/>
  <cols>
    <col min="1" max="16384" width="9.21875" style="21"/>
  </cols>
  <sheetData>
    <row r="2" spans="1:9" x14ac:dyDescent="0.3">
      <c r="A2" s="112" t="s">
        <v>23</v>
      </c>
      <c r="B2" s="112"/>
      <c r="C2" s="112"/>
      <c r="D2" s="112"/>
      <c r="E2" s="112"/>
      <c r="F2" s="112"/>
      <c r="G2" s="112"/>
      <c r="H2" s="112"/>
    </row>
    <row r="3" spans="1:9" x14ac:dyDescent="0.3">
      <c r="A3" s="30"/>
    </row>
    <row r="5" spans="1:9" x14ac:dyDescent="0.3">
      <c r="A5" s="113" t="s">
        <v>35</v>
      </c>
      <c r="B5" s="113"/>
      <c r="C5" s="113"/>
      <c r="E5" s="113" t="s">
        <v>34</v>
      </c>
      <c r="F5" s="113"/>
      <c r="G5" s="113"/>
      <c r="H5" s="113"/>
    </row>
    <row r="6" spans="1:9" x14ac:dyDescent="0.3">
      <c r="A6" s="31" t="s">
        <v>32</v>
      </c>
      <c r="E6" s="31" t="s">
        <v>32</v>
      </c>
      <c r="F6" s="31" t="s">
        <v>33</v>
      </c>
      <c r="H6" s="31" t="s">
        <v>32</v>
      </c>
      <c r="I6" s="31" t="s">
        <v>33</v>
      </c>
    </row>
    <row r="7" spans="1:9" x14ac:dyDescent="0.3">
      <c r="A7" s="21">
        <v>19</v>
      </c>
      <c r="E7" s="21">
        <v>19</v>
      </c>
      <c r="F7" s="21">
        <v>19</v>
      </c>
      <c r="H7" s="21">
        <v>92</v>
      </c>
      <c r="I7" s="21">
        <v>92</v>
      </c>
    </row>
    <row r="8" spans="1:9" x14ac:dyDescent="0.3">
      <c r="A8" s="21">
        <v>76</v>
      </c>
      <c r="E8" s="21">
        <v>76</v>
      </c>
      <c r="F8" s="21">
        <v>76</v>
      </c>
      <c r="H8" s="21">
        <v>69</v>
      </c>
      <c r="I8" s="21">
        <v>69</v>
      </c>
    </row>
    <row r="9" spans="1:9" x14ac:dyDescent="0.3">
      <c r="A9" s="21">
        <v>23</v>
      </c>
      <c r="E9" s="21">
        <v>23</v>
      </c>
      <c r="F9" s="21">
        <v>23</v>
      </c>
      <c r="H9" s="21">
        <v>63</v>
      </c>
      <c r="I9" s="21">
        <v>63</v>
      </c>
    </row>
    <row r="10" spans="1:9" x14ac:dyDescent="0.3">
      <c r="A10" s="21">
        <v>92</v>
      </c>
      <c r="E10" s="21">
        <v>92</v>
      </c>
      <c r="F10" s="21">
        <v>92</v>
      </c>
      <c r="H10" s="21">
        <v>50</v>
      </c>
      <c r="I10" s="21">
        <v>50</v>
      </c>
    </row>
    <row r="11" spans="1:9" x14ac:dyDescent="0.3">
      <c r="A11" s="21">
        <v>73</v>
      </c>
      <c r="E11" s="21">
        <v>73</v>
      </c>
      <c r="F11" s="21">
        <v>73</v>
      </c>
      <c r="H11" s="21">
        <v>98</v>
      </c>
      <c r="I11" s="21">
        <v>98</v>
      </c>
    </row>
    <row r="12" spans="1:9" x14ac:dyDescent="0.3">
      <c r="A12" s="21">
        <v>92</v>
      </c>
      <c r="E12" s="21">
        <v>92</v>
      </c>
      <c r="F12" s="21">
        <v>92</v>
      </c>
      <c r="H12" s="21">
        <v>21</v>
      </c>
      <c r="I12" s="21">
        <v>21</v>
      </c>
    </row>
    <row r="13" spans="1:9" x14ac:dyDescent="0.3">
      <c r="A13" s="21">
        <v>36</v>
      </c>
      <c r="E13" s="21">
        <v>36</v>
      </c>
      <c r="F13" s="21">
        <v>36</v>
      </c>
      <c r="H13" s="21">
        <v>27</v>
      </c>
      <c r="I13" s="21">
        <v>27</v>
      </c>
    </row>
    <row r="14" spans="1:9" x14ac:dyDescent="0.3">
      <c r="A14" s="21">
        <v>59</v>
      </c>
      <c r="E14" s="21">
        <v>59</v>
      </c>
      <c r="F14" s="21">
        <v>59</v>
      </c>
      <c r="H14" s="21">
        <v>68</v>
      </c>
      <c r="I14" s="21">
        <v>68</v>
      </c>
    </row>
    <row r="15" spans="1:9" x14ac:dyDescent="0.3">
      <c r="A15" s="21">
        <v>81</v>
      </c>
      <c r="E15" s="21">
        <v>81</v>
      </c>
      <c r="F15" s="21">
        <v>81</v>
      </c>
      <c r="H15" s="21">
        <v>10</v>
      </c>
      <c r="I15" s="21">
        <v>10</v>
      </c>
    </row>
    <row r="16" spans="1:9" x14ac:dyDescent="0.3">
      <c r="A16" s="21">
        <v>98</v>
      </c>
      <c r="E16" s="21">
        <v>98</v>
      </c>
      <c r="F16" s="21">
        <v>98</v>
      </c>
      <c r="H16" s="21">
        <v>89</v>
      </c>
      <c r="I16" s="21">
        <v>89</v>
      </c>
    </row>
  </sheetData>
  <sheetProtection algorithmName="SHA-512" hashValue="pLPY8WkTJMr0hoFl5DhOag9JvRIB5jDGgS+NKuD7FYhfX/MRKESEoNrRBAxVeRLeoYK+cjqqM3ZE4QIShrR/Ew==" saltValue="A2fDoleE50Fy0lbdL2+ooQ==" spinCount="100000" sheet="1" objects="1" scenarios="1" selectLockedCells="1" selectUnlockedCells="1"/>
  <mergeCells count="3">
    <mergeCell ref="A2:H2"/>
    <mergeCell ref="A5:C5"/>
    <mergeCell ref="E5:H5"/>
  </mergeCells>
  <conditionalFormatting sqref="A7:A1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{2D5BBC0B-7746-4AD3-A59C-92F139AA74DE}</x14:id>
        </ext>
      </extLst>
    </cfRule>
  </conditionalFormatting>
  <conditionalFormatting sqref="F7:F16">
    <cfRule type="dataBar" priority="4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{CF6C5FCD-663A-4F16-AB2F-A896200D625E}</x14:id>
        </ext>
      </extLst>
    </cfRule>
  </conditionalFormatting>
  <conditionalFormatting sqref="I7:I16">
    <cfRule type="dataBar" priority="1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{AB31B715-1B43-4B85-A1B6-DD7868CC1EF3}</x14:id>
        </ext>
      </extLst>
    </cfRule>
    <cfRule type="dataBar" priority="3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{32463D3D-4EE2-4E4B-B6EA-A71E30219A6F}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5BBC0B-7746-4AD3-A59C-92F139AA7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A7:A16</xm:sqref>
        </x14:conditionalFormatting>
        <x14:conditionalFormatting xmlns:xm="http://schemas.microsoft.com/office/excel/2006/main">
          <x14:cfRule type="dataBar" id="{CF6C5FCD-663A-4F16-AB2F-A896200D62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F7:F16</xm:sqref>
        </x14:conditionalFormatting>
        <x14:conditionalFormatting xmlns:xm="http://schemas.microsoft.com/office/excel/2006/main">
          <x14:cfRule type="dataBar" id="{AB31B715-1B43-4B85-A1B6-DD7868CC1EF3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32463D3D-4EE2-4E4B-B6EA-A71E30219A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2:J21"/>
  <sheetViews>
    <sheetView zoomScale="121" zoomScaleNormal="100" workbookViewId="0">
      <selection activeCell="C13" sqref="C13"/>
    </sheetView>
  </sheetViews>
  <sheetFormatPr defaultColWidth="9.21875" defaultRowHeight="14.4" x14ac:dyDescent="0.3"/>
  <cols>
    <col min="1" max="16384" width="9.21875" style="21"/>
  </cols>
  <sheetData>
    <row r="2" spans="1:10" x14ac:dyDescent="0.3">
      <c r="A2" s="115" t="s">
        <v>36</v>
      </c>
      <c r="B2" s="115"/>
      <c r="C2" s="115"/>
      <c r="D2" s="115"/>
      <c r="E2" s="115"/>
    </row>
    <row r="3" spans="1:10" x14ac:dyDescent="0.3">
      <c r="A3" s="116" t="s">
        <v>78</v>
      </c>
      <c r="B3" s="116"/>
      <c r="C3" s="116"/>
      <c r="D3" s="116"/>
      <c r="E3" s="116"/>
      <c r="F3" s="116"/>
      <c r="G3" s="116"/>
      <c r="H3" s="116"/>
      <c r="I3" s="116"/>
    </row>
    <row r="4" spans="1:10" x14ac:dyDescent="0.3">
      <c r="A4" s="31" t="s">
        <v>32</v>
      </c>
    </row>
    <row r="5" spans="1:10" x14ac:dyDescent="0.3">
      <c r="A5" s="20">
        <v>19</v>
      </c>
      <c r="D5" s="20">
        <v>0.6262658974309101</v>
      </c>
      <c r="E5" s="20">
        <v>0.52198773252267394</v>
      </c>
      <c r="F5" s="20">
        <v>0.89771549671265516</v>
      </c>
      <c r="G5" s="20">
        <v>0.35298702934684301</v>
      </c>
      <c r="H5" s="20">
        <v>0.4121868405233422</v>
      </c>
      <c r="I5" s="20">
        <v>0.44851273805199932</v>
      </c>
      <c r="J5" s="20">
        <v>0.20115318193289899</v>
      </c>
    </row>
    <row r="6" spans="1:10" x14ac:dyDescent="0.3">
      <c r="A6" s="20">
        <v>76</v>
      </c>
      <c r="D6" s="20">
        <v>0.76699412878103901</v>
      </c>
      <c r="E6" s="20">
        <v>8.7713992241089556E-2</v>
      </c>
      <c r="F6" s="20">
        <v>0.89880321752745262</v>
      </c>
      <c r="G6" s="20">
        <v>0.48494185801492562</v>
      </c>
      <c r="H6" s="20">
        <v>0.12365750282072607</v>
      </c>
      <c r="I6" s="20">
        <v>0.87516844767648261</v>
      </c>
      <c r="J6" s="20">
        <v>0.64726795951687255</v>
      </c>
    </row>
    <row r="7" spans="1:10" x14ac:dyDescent="0.3">
      <c r="A7" s="20">
        <v>23</v>
      </c>
      <c r="D7" s="20">
        <v>0.65593310532882221</v>
      </c>
      <c r="E7" s="20">
        <v>0.95712972993859335</v>
      </c>
      <c r="F7" s="20">
        <v>0.45832605074007993</v>
      </c>
      <c r="G7" s="20">
        <v>0.94364581997527097</v>
      </c>
      <c r="H7" s="20">
        <v>0.10174680126848257</v>
      </c>
      <c r="I7" s="20">
        <v>2.0494939842637949E-2</v>
      </c>
      <c r="J7" s="20">
        <v>0.45419056898538401</v>
      </c>
    </row>
    <row r="8" spans="1:10" x14ac:dyDescent="0.3">
      <c r="A8" s="20">
        <v>92</v>
      </c>
      <c r="D8" s="20">
        <v>0.1162980832790097</v>
      </c>
      <c r="E8" s="20">
        <v>0.27268363512954663</v>
      </c>
      <c r="F8" s="20">
        <v>0.55789556231316662</v>
      </c>
      <c r="G8" s="20">
        <v>0.11147015415897965</v>
      </c>
      <c r="H8" s="20">
        <v>0.26881690975267791</v>
      </c>
      <c r="I8" s="20">
        <v>0.39544869620657863</v>
      </c>
      <c r="J8" s="20">
        <v>0.22020768313888173</v>
      </c>
    </row>
    <row r="9" spans="1:10" x14ac:dyDescent="0.3">
      <c r="A9" s="20">
        <v>73</v>
      </c>
      <c r="D9" s="20">
        <v>3.5511141825452786E-3</v>
      </c>
      <c r="E9" s="20">
        <v>0.32585582075612063</v>
      </c>
      <c r="F9" s="20">
        <v>0.79267793429313105</v>
      </c>
      <c r="G9" s="20">
        <v>0.72255177628983924</v>
      </c>
      <c r="H9" s="20">
        <v>0.92718238935248143</v>
      </c>
      <c r="I9" s="20">
        <v>0.93345264360250635</v>
      </c>
      <c r="J9" s="20">
        <v>0.76903910241256623</v>
      </c>
    </row>
    <row r="10" spans="1:10" x14ac:dyDescent="0.3">
      <c r="A10" s="20">
        <v>92</v>
      </c>
      <c r="D10" s="20">
        <v>0.60811445257064811</v>
      </c>
      <c r="E10" s="20">
        <v>0.4428712959103801</v>
      </c>
      <c r="F10" s="20">
        <v>0.14129558428845479</v>
      </c>
      <c r="G10" s="20">
        <v>0.10440316195000554</v>
      </c>
      <c r="H10" s="20">
        <v>0.43649390395095145</v>
      </c>
      <c r="I10" s="20">
        <v>0.28497260463171448</v>
      </c>
      <c r="J10" s="20">
        <v>0.3566306857880277</v>
      </c>
    </row>
    <row r="11" spans="1:10" x14ac:dyDescent="0.3">
      <c r="A11" s="20">
        <v>36</v>
      </c>
      <c r="D11" s="20">
        <v>0.46562088621637954</v>
      </c>
      <c r="E11" s="20">
        <v>0.13828689526026283</v>
      </c>
      <c r="F11" s="20">
        <v>0.91992335073893339</v>
      </c>
      <c r="G11" s="20">
        <v>0.31725768050436598</v>
      </c>
      <c r="H11" s="20">
        <v>0.26848591726197757</v>
      </c>
      <c r="I11" s="20">
        <v>0.6358980253629779</v>
      </c>
      <c r="J11" s="20">
        <v>0.89492240476959539</v>
      </c>
    </row>
    <row r="12" spans="1:10" x14ac:dyDescent="0.3">
      <c r="A12" s="20">
        <v>59</v>
      </c>
      <c r="D12" s="20">
        <v>0.9844148624590876</v>
      </c>
      <c r="E12" s="20">
        <v>0.74667662516971955</v>
      </c>
      <c r="F12" s="20">
        <v>0.66093750537320672</v>
      </c>
      <c r="G12" s="20">
        <v>0.86124118862921162</v>
      </c>
      <c r="H12" s="20">
        <v>0.52800947382146324</v>
      </c>
      <c r="I12" s="20">
        <v>0.64404756544474306</v>
      </c>
      <c r="J12" s="20">
        <v>0.94983625342188727</v>
      </c>
    </row>
    <row r="13" spans="1:10" x14ac:dyDescent="0.3">
      <c r="A13" s="20">
        <v>81</v>
      </c>
      <c r="D13" s="20">
        <v>0.42448104130984499</v>
      </c>
      <c r="E13" s="20">
        <v>0.27936699267881371</v>
      </c>
      <c r="F13" s="20">
        <v>0.58819679001039571</v>
      </c>
      <c r="G13" s="20">
        <v>0.29628245386589824</v>
      </c>
      <c r="H13" s="20">
        <v>0.59816767350139055</v>
      </c>
      <c r="I13" s="20">
        <v>0.62812628385156866</v>
      </c>
      <c r="J13" s="20">
        <v>0.92899592954082</v>
      </c>
    </row>
    <row r="14" spans="1:10" x14ac:dyDescent="0.3">
      <c r="A14" s="20">
        <v>98</v>
      </c>
    </row>
    <row r="16" spans="1:10" x14ac:dyDescent="0.3">
      <c r="B16" s="51" t="s">
        <v>84</v>
      </c>
      <c r="C16" s="53"/>
      <c r="D16" s="53"/>
      <c r="E16" s="53"/>
      <c r="F16" s="53"/>
      <c r="G16" s="53"/>
    </row>
    <row r="17" spans="2:7" x14ac:dyDescent="0.3">
      <c r="B17" s="114" t="s">
        <v>89</v>
      </c>
      <c r="C17" s="114"/>
      <c r="D17" s="114"/>
      <c r="E17" s="51"/>
      <c r="F17" s="51"/>
      <c r="G17" s="51"/>
    </row>
    <row r="18" spans="2:7" x14ac:dyDescent="0.3">
      <c r="B18" s="114" t="s">
        <v>88</v>
      </c>
      <c r="C18" s="114"/>
      <c r="D18" s="114"/>
      <c r="E18" s="51"/>
      <c r="F18" s="51"/>
      <c r="G18" s="51"/>
    </row>
    <row r="19" spans="2:7" x14ac:dyDescent="0.3">
      <c r="B19" s="114" t="s">
        <v>79</v>
      </c>
      <c r="C19" s="114"/>
      <c r="D19" s="114"/>
      <c r="E19" s="51"/>
      <c r="F19" s="51"/>
      <c r="G19" s="51"/>
    </row>
    <row r="20" spans="2:7" x14ac:dyDescent="0.3">
      <c r="B20" s="52" t="s">
        <v>90</v>
      </c>
      <c r="C20" s="52"/>
      <c r="D20" s="52"/>
      <c r="E20" s="52"/>
      <c r="F20" s="52"/>
      <c r="G20" s="52"/>
    </row>
    <row r="21" spans="2:7" x14ac:dyDescent="0.3">
      <c r="B21" s="52" t="s">
        <v>91</v>
      </c>
      <c r="C21" s="52"/>
      <c r="D21" s="52"/>
      <c r="E21" s="52"/>
      <c r="F21" s="52"/>
      <c r="G21" s="52"/>
    </row>
  </sheetData>
  <mergeCells count="5">
    <mergeCell ref="B19:D19"/>
    <mergeCell ref="A2:E2"/>
    <mergeCell ref="A3:I3"/>
    <mergeCell ref="B17:D17"/>
    <mergeCell ref="B18:D1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17EF3-254A-4D6B-8734-4C2ACBC0B973}">
  <sheetPr>
    <tabColor rgb="FFFF0000"/>
  </sheetPr>
  <dimension ref="A3:J21"/>
  <sheetViews>
    <sheetView workbookViewId="0">
      <selection activeCell="K21" sqref="K21"/>
    </sheetView>
  </sheetViews>
  <sheetFormatPr defaultRowHeight="14.4" x14ac:dyDescent="0.3"/>
  <sheetData>
    <row r="3" spans="1:10" s="21" customFormat="1" x14ac:dyDescent="0.3">
      <c r="A3" s="115" t="s">
        <v>36</v>
      </c>
      <c r="B3" s="115"/>
      <c r="C3" s="115"/>
      <c r="D3" s="115"/>
      <c r="E3" s="115"/>
    </row>
    <row r="4" spans="1:10" s="21" customFormat="1" x14ac:dyDescent="0.3">
      <c r="A4" s="116" t="s">
        <v>78</v>
      </c>
      <c r="B4" s="116"/>
      <c r="C4" s="116"/>
      <c r="D4" s="116"/>
      <c r="E4" s="116"/>
      <c r="F4" s="116"/>
      <c r="G4" s="116"/>
      <c r="H4" s="116"/>
      <c r="I4" s="116"/>
    </row>
    <row r="5" spans="1:10" s="21" customFormat="1" x14ac:dyDescent="0.3">
      <c r="A5" s="49" t="s">
        <v>32</v>
      </c>
    </row>
    <row r="6" spans="1:10" s="21" customFormat="1" x14ac:dyDescent="0.3">
      <c r="A6" s="20">
        <v>19</v>
      </c>
      <c r="D6" s="20">
        <v>0.6262658974309101</v>
      </c>
      <c r="E6" s="20">
        <v>0.52198773252267394</v>
      </c>
      <c r="F6" s="20">
        <v>0.89771549671265516</v>
      </c>
      <c r="G6" s="20">
        <v>0.35298702934684301</v>
      </c>
      <c r="H6" s="20">
        <v>0.4121868405233422</v>
      </c>
      <c r="I6" s="20">
        <v>0.44851273805199932</v>
      </c>
      <c r="J6" s="20">
        <v>0.20115318193289899</v>
      </c>
    </row>
    <row r="7" spans="1:10" s="21" customFormat="1" x14ac:dyDescent="0.3">
      <c r="A7" s="20">
        <v>76</v>
      </c>
      <c r="D7" s="20">
        <v>0.76699412878103901</v>
      </c>
      <c r="E7" s="20">
        <v>8.7713992241089556E-2</v>
      </c>
      <c r="F7" s="20">
        <v>0.89880321752745262</v>
      </c>
      <c r="G7" s="20">
        <v>0.48494185801492562</v>
      </c>
      <c r="H7" s="20">
        <v>0.12365750282072607</v>
      </c>
      <c r="I7" s="20">
        <v>0.87516844767648261</v>
      </c>
      <c r="J7" s="20">
        <v>0.64726795951687255</v>
      </c>
    </row>
    <row r="8" spans="1:10" s="21" customFormat="1" x14ac:dyDescent="0.3">
      <c r="A8" s="20">
        <v>23</v>
      </c>
      <c r="D8" s="20">
        <v>0.65593310532882221</v>
      </c>
      <c r="E8" s="20">
        <v>0.95712972993859335</v>
      </c>
      <c r="F8" s="20">
        <v>0.45832605074007993</v>
      </c>
      <c r="G8" s="20">
        <v>0.94364581997527097</v>
      </c>
      <c r="H8" s="20">
        <v>0.10174680126848257</v>
      </c>
      <c r="I8" s="20">
        <v>2.0494939842637949E-2</v>
      </c>
      <c r="J8" s="20">
        <v>0.45419056898538401</v>
      </c>
    </row>
    <row r="9" spans="1:10" s="21" customFormat="1" x14ac:dyDescent="0.3">
      <c r="A9" s="20">
        <v>92</v>
      </c>
      <c r="D9" s="20">
        <v>0.1162980832790097</v>
      </c>
      <c r="E9" s="20">
        <v>0.27268363512954663</v>
      </c>
      <c r="F9" s="20">
        <v>0.55789556231316662</v>
      </c>
      <c r="G9" s="20">
        <v>0.11147015415897965</v>
      </c>
      <c r="H9" s="20">
        <v>0.26881690975267791</v>
      </c>
      <c r="I9" s="20">
        <v>0.39544869620657863</v>
      </c>
      <c r="J9" s="20">
        <v>0.22020768313888173</v>
      </c>
    </row>
    <row r="10" spans="1:10" s="21" customFormat="1" x14ac:dyDescent="0.3">
      <c r="A10" s="20">
        <v>73</v>
      </c>
      <c r="D10" s="20">
        <v>3.5511141825452786E-3</v>
      </c>
      <c r="E10" s="20">
        <v>0.32585582075612063</v>
      </c>
      <c r="F10" s="20">
        <v>0.79267793429313105</v>
      </c>
      <c r="G10" s="20">
        <v>0.72255177628983924</v>
      </c>
      <c r="H10" s="20">
        <v>0.92718238935248143</v>
      </c>
      <c r="I10" s="20">
        <v>0.93345264360250635</v>
      </c>
      <c r="J10" s="20">
        <v>0.76903910241256623</v>
      </c>
    </row>
    <row r="11" spans="1:10" s="21" customFormat="1" x14ac:dyDescent="0.3">
      <c r="A11" s="20">
        <v>92</v>
      </c>
      <c r="D11" s="20">
        <v>0.60811445257064811</v>
      </c>
      <c r="E11" s="20">
        <v>0.4428712959103801</v>
      </c>
      <c r="F11" s="20">
        <v>0.14129558428845479</v>
      </c>
      <c r="G11" s="20">
        <v>0.10440316195000554</v>
      </c>
      <c r="H11" s="20">
        <v>0.43649390395095145</v>
      </c>
      <c r="I11" s="20">
        <v>0.28497260463171448</v>
      </c>
      <c r="J11" s="20">
        <v>0.3566306857880277</v>
      </c>
    </row>
    <row r="12" spans="1:10" s="21" customFormat="1" x14ac:dyDescent="0.3">
      <c r="A12" s="20">
        <v>36</v>
      </c>
      <c r="D12" s="20">
        <v>0.46562088621637954</v>
      </c>
      <c r="E12" s="20">
        <v>0.13828689526026283</v>
      </c>
      <c r="F12" s="20">
        <v>0.91992335073893339</v>
      </c>
      <c r="G12" s="20">
        <v>0.31725768050436598</v>
      </c>
      <c r="H12" s="20">
        <v>0.26848591726197757</v>
      </c>
      <c r="I12" s="20">
        <v>0.6358980253629779</v>
      </c>
      <c r="J12" s="20">
        <v>0.89492240476959539</v>
      </c>
    </row>
    <row r="13" spans="1:10" s="21" customFormat="1" x14ac:dyDescent="0.3">
      <c r="A13" s="20">
        <v>59</v>
      </c>
      <c r="D13" s="20">
        <v>0.9844148624590876</v>
      </c>
      <c r="E13" s="20">
        <v>0.74667662516971955</v>
      </c>
      <c r="F13" s="20">
        <v>0.66093750537320672</v>
      </c>
      <c r="G13" s="20">
        <v>0.86124118862921162</v>
      </c>
      <c r="H13" s="20">
        <v>0.52800947382146324</v>
      </c>
      <c r="I13" s="20">
        <v>0.64404756544474306</v>
      </c>
      <c r="J13" s="20">
        <v>0.94983625342188727</v>
      </c>
    </row>
    <row r="14" spans="1:10" s="21" customFormat="1" x14ac:dyDescent="0.3">
      <c r="A14" s="20">
        <v>81</v>
      </c>
      <c r="D14" s="20">
        <v>0.42448104130984499</v>
      </c>
      <c r="E14" s="20">
        <v>0.27936699267881371</v>
      </c>
      <c r="F14" s="20">
        <v>0.58819679001039571</v>
      </c>
      <c r="G14" s="20">
        <v>0.29628245386589824</v>
      </c>
      <c r="H14" s="20">
        <v>0.59816767350139055</v>
      </c>
      <c r="I14" s="20">
        <v>0.62812628385156866</v>
      </c>
      <c r="J14" s="20">
        <v>0.92899592954082</v>
      </c>
    </row>
    <row r="15" spans="1:10" s="21" customFormat="1" x14ac:dyDescent="0.3">
      <c r="A15" s="20">
        <v>98</v>
      </c>
    </row>
    <row r="16" spans="1:10" s="21" customFormat="1" x14ac:dyDescent="0.3">
      <c r="B16" s="51" t="s">
        <v>84</v>
      </c>
      <c r="C16" s="53"/>
      <c r="D16" s="53"/>
      <c r="E16" s="53"/>
      <c r="F16" s="53"/>
      <c r="G16" s="53"/>
    </row>
    <row r="17" spans="2:7" s="21" customFormat="1" x14ac:dyDescent="0.3">
      <c r="B17" s="114" t="s">
        <v>89</v>
      </c>
      <c r="C17" s="114"/>
      <c r="D17" s="114"/>
      <c r="E17" s="51"/>
      <c r="F17" s="51"/>
      <c r="G17" s="51"/>
    </row>
    <row r="18" spans="2:7" s="21" customFormat="1" x14ac:dyDescent="0.3">
      <c r="B18" s="114" t="s">
        <v>88</v>
      </c>
      <c r="C18" s="114"/>
      <c r="D18" s="114"/>
      <c r="E18" s="51"/>
      <c r="F18" s="51"/>
      <c r="G18" s="51"/>
    </row>
    <row r="19" spans="2:7" s="21" customFormat="1" x14ac:dyDescent="0.3">
      <c r="B19" s="114" t="s">
        <v>79</v>
      </c>
      <c r="C19" s="114"/>
      <c r="D19" s="114"/>
      <c r="E19" s="51"/>
      <c r="F19" s="51"/>
      <c r="G19" s="51"/>
    </row>
    <row r="20" spans="2:7" x14ac:dyDescent="0.3">
      <c r="B20" s="52" t="s">
        <v>90</v>
      </c>
      <c r="C20" s="52"/>
      <c r="D20" s="52"/>
      <c r="E20" s="52"/>
      <c r="F20" s="52"/>
      <c r="G20" s="52"/>
    </row>
    <row r="21" spans="2:7" x14ac:dyDescent="0.3">
      <c r="B21" s="52" t="s">
        <v>91</v>
      </c>
      <c r="C21" s="52"/>
      <c r="D21" s="52"/>
      <c r="E21" s="52"/>
      <c r="F21" s="52"/>
      <c r="G21" s="52"/>
    </row>
  </sheetData>
  <sheetProtection algorithmName="SHA-512" hashValue="Vcip69mq1hPR6DcgPb9cqXgqSt4l7C82t7eh5oSU/czimlfnrH8l4if5GenzGfGRzr0SLHlP4+geKBH2l4B71w==" saltValue="ojYRhrCyElLLiAS1ukRA4A==" spinCount="100000" sheet="1" objects="1" scenarios="1" selectLockedCells="1" selectUnlockedCells="1"/>
  <mergeCells count="5">
    <mergeCell ref="A3:E3"/>
    <mergeCell ref="A4:I4"/>
    <mergeCell ref="B17:D17"/>
    <mergeCell ref="B18:D18"/>
    <mergeCell ref="B19:D19"/>
  </mergeCells>
  <conditionalFormatting sqref="A6:A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J14">
    <cfRule type="iconSet" priority="1">
      <iconSet iconSet="3Symbols">
        <cfvo type="percent" val="0"/>
        <cfvo type="percent" val="33"/>
        <cfvo type="percent" val="67"/>
      </iconSet>
    </cfRule>
    <cfRule type="aboveAverage" dxfId="21" priority="2" aboveAverage="0"/>
    <cfRule type="top10" dxfId="20" priority="3" rank="25"/>
  </conditionalFormatting>
  <conditionalFormatting sqref="D9:J11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{712F5C1A-0932-451D-9CB8-6D5602C77A74}</x14:id>
        </ext>
      </extLst>
    </cfRule>
  </conditionalFormatting>
  <conditionalFormatting sqref="F6:H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2F5C1A-0932-451D-9CB8-6D5602C77A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D9:J11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96226-D063-46A8-BB52-BF50B30EBC5E}">
  <sheetPr>
    <tabColor rgb="FF0000FF"/>
  </sheetPr>
  <dimension ref="A7:M25"/>
  <sheetViews>
    <sheetView workbookViewId="0">
      <selection activeCell="G19" sqref="G19"/>
    </sheetView>
  </sheetViews>
  <sheetFormatPr defaultRowHeight="14.4" x14ac:dyDescent="0.3"/>
  <cols>
    <col min="3" max="3" width="8.6640625" customWidth="1"/>
    <col min="10" max="10" width="11.109375" customWidth="1"/>
    <col min="11" max="11" width="16.88671875" bestFit="1" customWidth="1"/>
  </cols>
  <sheetData>
    <row r="7" spans="1:12" x14ac:dyDescent="0.3">
      <c r="A7" s="116" t="s">
        <v>80</v>
      </c>
      <c r="B7" s="116"/>
      <c r="C7" s="116"/>
      <c r="D7" s="116"/>
      <c r="E7" s="116"/>
      <c r="F7" s="116"/>
      <c r="G7" s="116"/>
      <c r="H7" s="116"/>
      <c r="I7" s="116"/>
    </row>
    <row r="8" spans="1:12" x14ac:dyDescent="0.3">
      <c r="A8" s="21"/>
      <c r="B8" s="21"/>
      <c r="C8" s="21"/>
      <c r="D8" s="21"/>
      <c r="E8" s="21"/>
      <c r="F8" s="21"/>
      <c r="G8" s="21"/>
      <c r="H8" s="21"/>
      <c r="I8" s="21"/>
    </row>
    <row r="9" spans="1:12" x14ac:dyDescent="0.3">
      <c r="A9" s="31"/>
      <c r="B9" s="21"/>
      <c r="C9" s="67" t="s">
        <v>32</v>
      </c>
      <c r="D9" s="67" t="s">
        <v>83</v>
      </c>
      <c r="E9" s="21"/>
      <c r="F9" s="21"/>
      <c r="G9" s="21"/>
      <c r="H9" s="21"/>
      <c r="I9" s="21"/>
      <c r="L9" s="54"/>
    </row>
    <row r="10" spans="1:12" x14ac:dyDescent="0.3">
      <c r="A10" s="21"/>
      <c r="B10" s="21"/>
      <c r="C10" s="68">
        <v>-28</v>
      </c>
      <c r="D10" s="68"/>
      <c r="E10" s="21"/>
      <c r="F10" s="21"/>
      <c r="G10" s="21"/>
      <c r="H10" s="21"/>
      <c r="I10" s="21"/>
      <c r="L10" s="54"/>
    </row>
    <row r="11" spans="1:12" x14ac:dyDescent="0.3">
      <c r="A11" s="21"/>
      <c r="B11" s="21"/>
      <c r="C11" s="68">
        <v>60</v>
      </c>
      <c r="D11" s="68"/>
      <c r="E11" s="21"/>
      <c r="F11" s="21"/>
      <c r="G11" s="21"/>
      <c r="H11" s="21"/>
      <c r="I11" s="21"/>
      <c r="L11" s="54"/>
    </row>
    <row r="12" spans="1:12" x14ac:dyDescent="0.3">
      <c r="A12" s="21"/>
      <c r="B12" s="21"/>
      <c r="C12" s="68">
        <v>-8</v>
      </c>
      <c r="D12" s="68"/>
      <c r="E12" s="21"/>
      <c r="F12" s="21"/>
      <c r="G12" s="21"/>
      <c r="H12" s="21"/>
      <c r="I12" s="21"/>
      <c r="L12" s="54"/>
    </row>
    <row r="13" spans="1:12" x14ac:dyDescent="0.3">
      <c r="A13" s="21"/>
      <c r="B13" s="21"/>
      <c r="C13" s="68">
        <v>4</v>
      </c>
      <c r="D13" s="68"/>
      <c r="E13" s="21"/>
      <c r="F13" s="21"/>
      <c r="G13" s="21"/>
      <c r="H13" s="21"/>
      <c r="I13" s="21"/>
      <c r="L13" s="54"/>
    </row>
    <row r="14" spans="1:12" x14ac:dyDescent="0.3">
      <c r="A14" s="21"/>
      <c r="B14" s="21"/>
      <c r="C14" s="68">
        <v>12</v>
      </c>
      <c r="D14" s="68"/>
      <c r="E14" s="21"/>
      <c r="F14" s="21"/>
      <c r="G14" s="21"/>
      <c r="H14" s="21"/>
      <c r="I14" s="21"/>
      <c r="L14" s="54"/>
    </row>
    <row r="15" spans="1:12" x14ac:dyDescent="0.3">
      <c r="A15" s="21"/>
      <c r="B15" s="21"/>
      <c r="C15" s="68">
        <v>72</v>
      </c>
      <c r="D15" s="68"/>
      <c r="E15" s="21"/>
      <c r="F15" s="21"/>
      <c r="G15" s="21"/>
      <c r="H15" s="21"/>
      <c r="I15" s="21"/>
      <c r="L15" s="54"/>
    </row>
    <row r="16" spans="1:12" x14ac:dyDescent="0.3">
      <c r="A16" s="21"/>
      <c r="B16" s="21"/>
      <c r="C16" s="68">
        <v>44</v>
      </c>
      <c r="D16" s="68"/>
      <c r="E16" s="21"/>
      <c r="F16" s="21"/>
      <c r="G16" s="21"/>
      <c r="H16" s="21"/>
      <c r="I16" s="21"/>
      <c r="K16" s="55" t="s">
        <v>96</v>
      </c>
      <c r="L16" s="54"/>
    </row>
    <row r="17" spans="1:13" x14ac:dyDescent="0.3">
      <c r="A17" s="21"/>
      <c r="B17" s="21"/>
      <c r="C17" s="68">
        <v>72</v>
      </c>
      <c r="D17" s="68"/>
      <c r="E17" s="21"/>
      <c r="F17" s="21"/>
      <c r="G17" s="21"/>
      <c r="H17" s="21"/>
      <c r="I17" s="56"/>
      <c r="J17" s="57"/>
      <c r="K17" s="58"/>
      <c r="L17" s="58"/>
      <c r="M17" s="59"/>
    </row>
    <row r="18" spans="1:13" x14ac:dyDescent="0.3">
      <c r="A18" s="21"/>
      <c r="B18" s="21"/>
      <c r="C18" s="68">
        <v>7</v>
      </c>
      <c r="D18" s="68"/>
      <c r="E18" s="21"/>
      <c r="F18" s="21"/>
      <c r="G18" s="21"/>
      <c r="H18" s="21"/>
      <c r="I18" s="60"/>
      <c r="J18" s="61"/>
      <c r="K18" s="62" t="s">
        <v>93</v>
      </c>
      <c r="L18" s="62" t="s">
        <v>81</v>
      </c>
      <c r="M18" s="63"/>
    </row>
    <row r="19" spans="1:13" x14ac:dyDescent="0.3">
      <c r="A19" s="21"/>
      <c r="B19" s="21"/>
      <c r="C19" s="68">
        <v>44</v>
      </c>
      <c r="D19" s="68"/>
      <c r="E19" s="21"/>
      <c r="F19" s="21"/>
      <c r="G19" s="21"/>
      <c r="H19" s="21"/>
      <c r="I19" s="60"/>
      <c r="J19" s="61"/>
      <c r="K19" s="62"/>
      <c r="L19" s="62"/>
      <c r="M19" s="63"/>
    </row>
    <row r="20" spans="1:13" x14ac:dyDescent="0.3">
      <c r="A20" s="21"/>
      <c r="B20" s="21"/>
      <c r="C20" s="68">
        <v>36</v>
      </c>
      <c r="D20" s="68"/>
      <c r="E20" s="21"/>
      <c r="F20" s="117"/>
      <c r="G20" s="117"/>
      <c r="H20" s="21"/>
      <c r="I20" s="60"/>
      <c r="J20" s="61"/>
      <c r="K20" s="62" t="s">
        <v>93</v>
      </c>
      <c r="L20" s="62" t="s">
        <v>82</v>
      </c>
      <c r="M20" s="63"/>
    </row>
    <row r="21" spans="1:13" x14ac:dyDescent="0.3">
      <c r="A21" s="21"/>
      <c r="B21" s="21"/>
      <c r="C21" s="68">
        <v>71</v>
      </c>
      <c r="D21" s="69"/>
      <c r="F21" s="117"/>
      <c r="G21" s="117"/>
      <c r="H21" s="21"/>
      <c r="I21" s="60"/>
      <c r="J21" s="61"/>
      <c r="K21" s="62"/>
      <c r="L21" s="62"/>
      <c r="M21" s="63"/>
    </row>
    <row r="22" spans="1:13" x14ac:dyDescent="0.3">
      <c r="A22" s="21"/>
      <c r="B22" s="21"/>
      <c r="C22" s="68">
        <v>-50</v>
      </c>
      <c r="D22" s="69"/>
      <c r="F22" s="117"/>
      <c r="G22" s="117"/>
      <c r="H22" s="21"/>
      <c r="I22" s="60"/>
      <c r="J22" s="61"/>
      <c r="K22" s="62" t="s">
        <v>93</v>
      </c>
      <c r="L22" s="62" t="s">
        <v>92</v>
      </c>
      <c r="M22" s="63"/>
    </row>
    <row r="23" spans="1:13" x14ac:dyDescent="0.3">
      <c r="A23" s="21"/>
      <c r="B23" s="21"/>
      <c r="C23" s="68">
        <v>46</v>
      </c>
      <c r="D23" s="69"/>
      <c r="F23" s="21"/>
      <c r="G23" s="21"/>
      <c r="H23" s="21"/>
      <c r="I23" s="60"/>
      <c r="J23" s="61"/>
      <c r="K23" s="62"/>
      <c r="L23" s="62"/>
      <c r="M23" s="63"/>
    </row>
    <row r="24" spans="1:13" x14ac:dyDescent="0.3">
      <c r="A24" s="21"/>
      <c r="B24" s="21"/>
      <c r="C24" s="21"/>
      <c r="D24" s="21"/>
      <c r="E24" s="21"/>
      <c r="F24" s="21"/>
      <c r="G24" s="21"/>
      <c r="H24" s="21"/>
      <c r="I24" s="60"/>
      <c r="J24" s="61"/>
      <c r="K24" s="62" t="s">
        <v>94</v>
      </c>
      <c r="L24" s="62" t="s">
        <v>95</v>
      </c>
      <c r="M24" s="63"/>
    </row>
    <row r="25" spans="1:13" x14ac:dyDescent="0.3">
      <c r="I25" s="64"/>
      <c r="J25" s="65"/>
      <c r="K25" s="65"/>
      <c r="L25" s="65"/>
      <c r="M25" s="66"/>
    </row>
  </sheetData>
  <mergeCells count="4">
    <mergeCell ref="A7:I7"/>
    <mergeCell ref="F20:G20"/>
    <mergeCell ref="F21:G21"/>
    <mergeCell ref="F22:G22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7344C17-D44C-492E-926F-DA825E1F012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33</xm:f>
              </x14:cfvo>
              <x14:cfvo type="num">
                <xm:f>67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G10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5CC96-7C38-4E08-BF3C-17562E757FBE}">
  <sheetPr>
    <tabColor rgb="FFFF0000"/>
  </sheetPr>
  <dimension ref="A7:M25"/>
  <sheetViews>
    <sheetView workbookViewId="0">
      <selection activeCell="E12" sqref="A1:XFD1048576"/>
    </sheetView>
  </sheetViews>
  <sheetFormatPr defaultRowHeight="14.4" x14ac:dyDescent="0.3"/>
  <cols>
    <col min="3" max="3" width="8.6640625" customWidth="1"/>
    <col min="10" max="10" width="11.109375" customWidth="1"/>
    <col min="11" max="11" width="16.88671875" bestFit="1" customWidth="1"/>
    <col min="12" max="12" width="8.88671875" customWidth="1"/>
  </cols>
  <sheetData>
    <row r="7" spans="1:12" x14ac:dyDescent="0.3">
      <c r="A7" s="116" t="s">
        <v>80</v>
      </c>
      <c r="B7" s="116"/>
      <c r="C7" s="116"/>
      <c r="D7" s="116"/>
      <c r="E7" s="116"/>
      <c r="F7" s="116"/>
      <c r="G7" s="116"/>
      <c r="H7" s="116"/>
      <c r="I7" s="116"/>
    </row>
    <row r="8" spans="1:12" x14ac:dyDescent="0.3">
      <c r="A8" s="21"/>
      <c r="B8" s="21"/>
      <c r="C8" s="21"/>
      <c r="D8" s="21"/>
      <c r="E8" s="21"/>
      <c r="F8" s="21"/>
      <c r="G8" s="21"/>
      <c r="H8" s="21"/>
      <c r="I8" s="21"/>
    </row>
    <row r="9" spans="1:12" x14ac:dyDescent="0.3">
      <c r="A9" s="31"/>
      <c r="B9" s="21"/>
      <c r="C9" s="67" t="s">
        <v>32</v>
      </c>
      <c r="D9" s="67" t="s">
        <v>83</v>
      </c>
      <c r="E9" s="21"/>
      <c r="F9" s="21"/>
      <c r="G9" s="21"/>
      <c r="H9" s="21"/>
      <c r="I9" s="21"/>
      <c r="L9" s="54"/>
    </row>
    <row r="10" spans="1:12" x14ac:dyDescent="0.3">
      <c r="A10" s="21"/>
      <c r="B10" s="21"/>
      <c r="C10" s="68">
        <v>-28</v>
      </c>
      <c r="D10" s="68">
        <v>-28</v>
      </c>
      <c r="E10" s="21"/>
      <c r="F10" s="21"/>
      <c r="G10" s="21"/>
      <c r="H10" s="21"/>
      <c r="I10" s="21"/>
      <c r="L10" s="54"/>
    </row>
    <row r="11" spans="1:12" x14ac:dyDescent="0.3">
      <c r="A11" s="21"/>
      <c r="B11" s="21"/>
      <c r="C11" s="68">
        <v>60</v>
      </c>
      <c r="D11" s="68">
        <v>60</v>
      </c>
      <c r="E11" s="21"/>
      <c r="F11" s="21"/>
      <c r="G11" s="21"/>
      <c r="H11" s="21"/>
      <c r="I11" s="21"/>
      <c r="L11" s="54"/>
    </row>
    <row r="12" spans="1:12" x14ac:dyDescent="0.3">
      <c r="A12" s="21"/>
      <c r="B12" s="21"/>
      <c r="C12" s="68">
        <v>-8</v>
      </c>
      <c r="D12" s="68">
        <v>-8</v>
      </c>
      <c r="E12" s="21"/>
      <c r="F12" s="21"/>
      <c r="G12" s="21"/>
      <c r="H12" s="21"/>
      <c r="I12" s="21"/>
      <c r="L12" s="54"/>
    </row>
    <row r="13" spans="1:12" x14ac:dyDescent="0.3">
      <c r="A13" s="21"/>
      <c r="B13" s="21"/>
      <c r="C13" s="68">
        <v>4</v>
      </c>
      <c r="D13" s="68">
        <v>4</v>
      </c>
      <c r="E13" s="21"/>
      <c r="F13" s="21"/>
      <c r="G13" s="21"/>
      <c r="H13" s="21"/>
      <c r="I13" s="21"/>
      <c r="L13" s="54"/>
    </row>
    <row r="14" spans="1:12" x14ac:dyDescent="0.3">
      <c r="A14" s="21"/>
      <c r="B14" s="21"/>
      <c r="C14" s="68">
        <v>12</v>
      </c>
      <c r="D14" s="68">
        <v>12</v>
      </c>
      <c r="E14" s="21"/>
      <c r="F14" s="21"/>
      <c r="G14" s="21"/>
      <c r="H14" s="21"/>
      <c r="I14" s="21"/>
      <c r="L14" s="54"/>
    </row>
    <row r="15" spans="1:12" x14ac:dyDescent="0.3">
      <c r="A15" s="21"/>
      <c r="B15" s="21"/>
      <c r="C15" s="68">
        <v>72</v>
      </c>
      <c r="D15" s="68">
        <v>72</v>
      </c>
      <c r="E15" s="21"/>
      <c r="F15" s="21"/>
      <c r="G15" s="21"/>
      <c r="H15" s="21"/>
      <c r="I15" s="21"/>
      <c r="L15" s="54"/>
    </row>
    <row r="16" spans="1:12" x14ac:dyDescent="0.3">
      <c r="A16" s="21"/>
      <c r="B16" s="21"/>
      <c r="C16" s="68">
        <v>44</v>
      </c>
      <c r="D16" s="68">
        <v>44</v>
      </c>
      <c r="E16" s="21"/>
      <c r="F16" s="21"/>
      <c r="G16" s="21"/>
      <c r="H16" s="21"/>
      <c r="I16" s="21"/>
      <c r="K16" s="55" t="s">
        <v>96</v>
      </c>
      <c r="L16" s="54"/>
    </row>
    <row r="17" spans="1:13" x14ac:dyDescent="0.3">
      <c r="A17" s="21"/>
      <c r="B17" s="21"/>
      <c r="C17" s="68">
        <v>72</v>
      </c>
      <c r="D17" s="68">
        <v>72</v>
      </c>
      <c r="E17" s="21"/>
      <c r="F17" s="21"/>
      <c r="G17" s="21"/>
      <c r="H17" s="21"/>
      <c r="I17" s="56"/>
      <c r="J17" s="57"/>
      <c r="K17" s="58"/>
      <c r="L17" s="58"/>
      <c r="M17" s="59"/>
    </row>
    <row r="18" spans="1:13" x14ac:dyDescent="0.3">
      <c r="A18" s="21"/>
      <c r="B18" s="21"/>
      <c r="C18" s="68">
        <v>7</v>
      </c>
      <c r="D18" s="68">
        <v>7</v>
      </c>
      <c r="E18" s="21"/>
      <c r="F18" s="21"/>
      <c r="G18" s="21"/>
      <c r="H18" s="21"/>
      <c r="I18" s="60"/>
      <c r="J18" s="61"/>
      <c r="K18" s="62" t="s">
        <v>93</v>
      </c>
      <c r="L18" s="62" t="s">
        <v>81</v>
      </c>
      <c r="M18" s="63"/>
    </row>
    <row r="19" spans="1:13" x14ac:dyDescent="0.3">
      <c r="A19" s="21"/>
      <c r="B19" s="21"/>
      <c r="C19" s="68">
        <v>44</v>
      </c>
      <c r="D19" s="68">
        <v>44</v>
      </c>
      <c r="E19" s="21"/>
      <c r="F19" s="21"/>
      <c r="G19" s="21"/>
      <c r="H19" s="21"/>
      <c r="I19" s="60"/>
      <c r="J19" s="61"/>
      <c r="K19" s="62"/>
      <c r="L19" s="62"/>
      <c r="M19" s="63"/>
    </row>
    <row r="20" spans="1:13" x14ac:dyDescent="0.3">
      <c r="A20" s="21"/>
      <c r="B20" s="21"/>
      <c r="C20" s="68">
        <v>36</v>
      </c>
      <c r="D20" s="68">
        <v>36</v>
      </c>
      <c r="E20" s="21"/>
      <c r="F20" s="117"/>
      <c r="G20" s="117"/>
      <c r="H20" s="21"/>
      <c r="I20" s="60"/>
      <c r="J20" s="61"/>
      <c r="K20" s="62" t="s">
        <v>93</v>
      </c>
      <c r="L20" s="62" t="s">
        <v>82</v>
      </c>
      <c r="M20" s="63"/>
    </row>
    <row r="21" spans="1:13" x14ac:dyDescent="0.3">
      <c r="A21" s="21"/>
      <c r="B21" s="21"/>
      <c r="C21" s="68">
        <v>71</v>
      </c>
      <c r="D21" s="69">
        <v>71</v>
      </c>
      <c r="F21" s="117"/>
      <c r="G21" s="117"/>
      <c r="H21" s="21"/>
      <c r="I21" s="60"/>
      <c r="J21" s="61"/>
      <c r="K21" s="62"/>
      <c r="L21" s="62"/>
      <c r="M21" s="63"/>
    </row>
    <row r="22" spans="1:13" x14ac:dyDescent="0.3">
      <c r="A22" s="21"/>
      <c r="B22" s="21"/>
      <c r="C22" s="68">
        <v>-50</v>
      </c>
      <c r="D22" s="69">
        <v>-50</v>
      </c>
      <c r="F22" s="117"/>
      <c r="G22" s="117"/>
      <c r="H22" s="21"/>
      <c r="I22" s="60"/>
      <c r="J22" s="61"/>
      <c r="K22" s="62" t="s">
        <v>93</v>
      </c>
      <c r="L22" s="62" t="s">
        <v>92</v>
      </c>
      <c r="M22" s="63"/>
    </row>
    <row r="23" spans="1:13" x14ac:dyDescent="0.3">
      <c r="A23" s="21"/>
      <c r="B23" s="21"/>
      <c r="C23" s="68">
        <v>46</v>
      </c>
      <c r="D23" s="69">
        <v>46</v>
      </c>
      <c r="F23" s="21"/>
      <c r="G23" s="21"/>
      <c r="H23" s="21"/>
      <c r="I23" s="60"/>
      <c r="J23" s="61"/>
      <c r="K23" s="62"/>
      <c r="L23" s="62"/>
      <c r="M23" s="63"/>
    </row>
    <row r="24" spans="1:13" x14ac:dyDescent="0.3">
      <c r="A24" s="21"/>
      <c r="B24" s="21"/>
      <c r="C24" s="21"/>
      <c r="D24" s="21"/>
      <c r="E24" s="21"/>
      <c r="F24" s="21"/>
      <c r="G24" s="21"/>
      <c r="H24" s="21"/>
      <c r="I24" s="60"/>
      <c r="J24" s="61"/>
      <c r="K24" s="62" t="s">
        <v>94</v>
      </c>
      <c r="L24" s="62" t="s">
        <v>95</v>
      </c>
      <c r="M24" s="63"/>
    </row>
    <row r="25" spans="1:13" x14ac:dyDescent="0.3">
      <c r="I25" s="64"/>
      <c r="J25" s="65"/>
      <c r="K25" s="65"/>
      <c r="L25" s="65"/>
      <c r="M25" s="66"/>
    </row>
  </sheetData>
  <sheetProtection algorithmName="SHA-512" hashValue="w3sYMNGcV8E7VjJnzfLtBr8UFD+lxVCsTC64Kq58izbqGaA8EQQXJYiScfhS20B/f/GCA4sIGCwD+IUbf6aRYA==" saltValue="6gh5fCIsdKVQtoRoLu1ifg==" spinCount="100000" sheet="1" objects="1" scenarios="1" selectLockedCells="1" selectUnlockedCells="1"/>
  <mergeCells count="4">
    <mergeCell ref="A7:I7"/>
    <mergeCell ref="F20:G20"/>
    <mergeCell ref="F21:G21"/>
    <mergeCell ref="F22:G22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0B06F26-934B-4E03-9348-67ACE8662CB7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33</xm:f>
              </x14:cfvo>
              <x14:cfvo type="num">
                <xm:f>67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D10:D23</xm:sqref>
        </x14:conditionalFormatting>
        <x14:conditionalFormatting xmlns:xm="http://schemas.microsoft.com/office/excel/2006/main">
          <x14:cfRule type="iconSet" priority="1" id="{883BDC8F-FAD9-4B1D-85AD-60BC9187808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33</xm:f>
              </x14:cfvo>
              <x14:cfvo type="num">
                <xm:f>67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G10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00FF"/>
  </sheetPr>
  <dimension ref="A3:I37"/>
  <sheetViews>
    <sheetView zoomScaleNormal="100" workbookViewId="0">
      <selection activeCell="J17" sqref="J17"/>
    </sheetView>
  </sheetViews>
  <sheetFormatPr defaultColWidth="9.21875" defaultRowHeight="14.4" x14ac:dyDescent="0.3"/>
  <cols>
    <col min="1" max="1" width="9.21875" style="21"/>
    <col min="2" max="2" width="14.21875" style="21" customWidth="1"/>
    <col min="3" max="3" width="14" style="21" customWidth="1"/>
    <col min="4" max="4" width="9.21875" style="21" bestFit="1" customWidth="1"/>
    <col min="5" max="5" width="9.5546875" style="21" bestFit="1" customWidth="1"/>
    <col min="6" max="6" width="9.21875" style="21"/>
    <col min="7" max="7" width="9.21875" style="21" bestFit="1" customWidth="1"/>
    <col min="8" max="16384" width="9.21875" style="21"/>
  </cols>
  <sheetData>
    <row r="3" spans="1:8" x14ac:dyDescent="0.3">
      <c r="A3" s="116" t="s">
        <v>97</v>
      </c>
      <c r="B3" s="116"/>
      <c r="C3" s="116"/>
      <c r="D3" s="116"/>
      <c r="E3" s="116"/>
    </row>
    <row r="5" spans="1:8" x14ac:dyDescent="0.3">
      <c r="A5" s="33" t="s">
        <v>37</v>
      </c>
      <c r="B5" s="33" t="s">
        <v>38</v>
      </c>
      <c r="C5" s="33" t="s">
        <v>39</v>
      </c>
      <c r="D5" s="33" t="s">
        <v>40</v>
      </c>
      <c r="E5" s="33" t="s">
        <v>41</v>
      </c>
    </row>
    <row r="6" spans="1:8" x14ac:dyDescent="0.3">
      <c r="A6" s="36" t="s">
        <v>42</v>
      </c>
      <c r="B6" s="36">
        <v>755</v>
      </c>
      <c r="C6" s="36">
        <v>1015</v>
      </c>
      <c r="D6" s="36">
        <v>700</v>
      </c>
      <c r="E6" s="36">
        <v>182000</v>
      </c>
      <c r="F6" s="37"/>
      <c r="G6" s="37"/>
      <c r="H6" s="37"/>
    </row>
    <row r="7" spans="1:8" x14ac:dyDescent="0.3">
      <c r="A7" s="36" t="s">
        <v>43</v>
      </c>
      <c r="B7" s="36">
        <v>22</v>
      </c>
      <c r="C7" s="36">
        <v>29.1</v>
      </c>
      <c r="D7" s="36">
        <v>2200</v>
      </c>
      <c r="E7" s="36">
        <v>15620.000000000004</v>
      </c>
      <c r="F7" s="37"/>
      <c r="G7" s="37"/>
      <c r="H7" s="37"/>
    </row>
    <row r="8" spans="1:8" x14ac:dyDescent="0.3">
      <c r="A8" s="36" t="s">
        <v>44</v>
      </c>
      <c r="B8" s="36">
        <v>36</v>
      </c>
      <c r="C8" s="36">
        <v>37</v>
      </c>
      <c r="D8" s="36">
        <v>300</v>
      </c>
      <c r="E8" s="36">
        <v>300</v>
      </c>
      <c r="F8" s="37"/>
      <c r="G8" s="37"/>
      <c r="H8" s="37"/>
    </row>
    <row r="9" spans="1:8" x14ac:dyDescent="0.3">
      <c r="A9" s="36" t="s">
        <v>45</v>
      </c>
      <c r="B9" s="36">
        <v>36</v>
      </c>
      <c r="C9" s="36">
        <v>36</v>
      </c>
      <c r="D9" s="36">
        <v>4000</v>
      </c>
      <c r="E9" s="36">
        <v>0</v>
      </c>
      <c r="F9" s="37"/>
      <c r="G9" s="37"/>
      <c r="H9" s="37"/>
    </row>
    <row r="10" spans="1:8" x14ac:dyDescent="0.3">
      <c r="A10" s="36" t="s">
        <v>46</v>
      </c>
      <c r="B10" s="36">
        <v>51</v>
      </c>
      <c r="C10" s="36">
        <v>42</v>
      </c>
      <c r="D10" s="36">
        <v>700</v>
      </c>
      <c r="E10" s="36">
        <v>-6300</v>
      </c>
      <c r="F10" s="37"/>
      <c r="G10" s="37"/>
      <c r="H10" s="37"/>
    </row>
    <row r="11" spans="1:8" x14ac:dyDescent="0.3">
      <c r="A11" s="36" t="s">
        <v>47</v>
      </c>
      <c r="B11" s="36">
        <v>31</v>
      </c>
      <c r="C11" s="36">
        <v>17</v>
      </c>
      <c r="D11" s="36">
        <v>400</v>
      </c>
      <c r="E11" s="36">
        <v>-5600</v>
      </c>
      <c r="F11" s="37"/>
      <c r="G11" s="37"/>
      <c r="H11" s="37"/>
    </row>
    <row r="12" spans="1:8" x14ac:dyDescent="0.3">
      <c r="A12" s="37"/>
      <c r="B12" s="37"/>
      <c r="C12" s="37"/>
      <c r="D12" s="37"/>
      <c r="E12" s="37"/>
      <c r="F12" s="37"/>
      <c r="G12" s="37"/>
      <c r="H12" s="37"/>
    </row>
    <row r="13" spans="1:8" x14ac:dyDescent="0.3">
      <c r="A13" s="37"/>
      <c r="B13" s="37"/>
      <c r="C13" s="37"/>
      <c r="D13" s="37"/>
      <c r="E13" s="37" t="s">
        <v>48</v>
      </c>
      <c r="F13" s="37"/>
      <c r="G13" s="37"/>
      <c r="H13" s="37"/>
    </row>
    <row r="14" spans="1:8" x14ac:dyDescent="0.3">
      <c r="A14" s="37"/>
      <c r="B14" s="37"/>
      <c r="C14" s="37"/>
      <c r="D14" s="37"/>
      <c r="E14" s="37"/>
      <c r="F14" s="37"/>
      <c r="G14" s="37"/>
      <c r="H14" s="37"/>
    </row>
    <row r="15" spans="1:8" x14ac:dyDescent="0.3">
      <c r="A15" s="38" t="s">
        <v>37</v>
      </c>
      <c r="B15" s="38" t="s">
        <v>38</v>
      </c>
      <c r="C15" s="38" t="s">
        <v>39</v>
      </c>
      <c r="D15" s="38" t="s">
        <v>40</v>
      </c>
      <c r="E15" s="38" t="s">
        <v>41</v>
      </c>
      <c r="F15" s="37"/>
      <c r="G15" s="39" t="s">
        <v>49</v>
      </c>
      <c r="H15" s="37"/>
    </row>
    <row r="16" spans="1:8" x14ac:dyDescent="0.3">
      <c r="A16" s="36" t="s">
        <v>42</v>
      </c>
      <c r="B16" s="36">
        <v>755</v>
      </c>
      <c r="C16" s="36">
        <v>1015</v>
      </c>
      <c r="D16" s="36">
        <v>700</v>
      </c>
      <c r="E16" s="36">
        <v>182000</v>
      </c>
      <c r="F16" s="37"/>
      <c r="G16" s="36">
        <v>0</v>
      </c>
      <c r="H16" s="37"/>
    </row>
    <row r="17" spans="1:9" x14ac:dyDescent="0.3">
      <c r="A17" s="36" t="s">
        <v>43</v>
      </c>
      <c r="B17" s="36">
        <v>22</v>
      </c>
      <c r="C17" s="36">
        <v>29.1</v>
      </c>
      <c r="D17" s="36">
        <v>2200</v>
      </c>
      <c r="E17" s="36">
        <v>15620.000000000004</v>
      </c>
      <c r="F17" s="37"/>
      <c r="G17" s="37"/>
      <c r="H17" s="37"/>
    </row>
    <row r="18" spans="1:9" x14ac:dyDescent="0.3">
      <c r="A18" s="36" t="s">
        <v>44</v>
      </c>
      <c r="B18" s="36">
        <v>36</v>
      </c>
      <c r="C18" s="36">
        <v>37</v>
      </c>
      <c r="D18" s="36">
        <v>300</v>
      </c>
      <c r="E18" s="36">
        <v>300</v>
      </c>
      <c r="F18" s="37"/>
      <c r="G18" s="37"/>
      <c r="H18" s="37"/>
    </row>
    <row r="19" spans="1:9" x14ac:dyDescent="0.3">
      <c r="A19" s="36" t="s">
        <v>45</v>
      </c>
      <c r="B19" s="36">
        <v>36</v>
      </c>
      <c r="C19" s="36">
        <v>36</v>
      </c>
      <c r="D19" s="36">
        <v>4000</v>
      </c>
      <c r="E19" s="36">
        <v>0</v>
      </c>
      <c r="F19" s="37"/>
      <c r="G19" s="37"/>
      <c r="H19" s="37"/>
    </row>
    <row r="20" spans="1:9" x14ac:dyDescent="0.3">
      <c r="A20" s="36" t="s">
        <v>46</v>
      </c>
      <c r="B20" s="36">
        <v>51</v>
      </c>
      <c r="C20" s="36">
        <v>42</v>
      </c>
      <c r="D20" s="36">
        <v>700</v>
      </c>
      <c r="E20" s="36">
        <v>-6300</v>
      </c>
      <c r="F20" s="37"/>
      <c r="G20" s="37"/>
      <c r="H20" s="37"/>
    </row>
    <row r="21" spans="1:9" x14ac:dyDescent="0.3">
      <c r="A21" s="36" t="s">
        <v>47</v>
      </c>
      <c r="B21" s="36">
        <v>31</v>
      </c>
      <c r="C21" s="36">
        <v>17</v>
      </c>
      <c r="D21" s="36">
        <v>400</v>
      </c>
      <c r="E21" s="36">
        <v>-5600</v>
      </c>
      <c r="F21" s="37"/>
      <c r="G21" s="37"/>
      <c r="H21" s="37"/>
    </row>
    <row r="22" spans="1:9" x14ac:dyDescent="0.3">
      <c r="A22" s="37"/>
      <c r="B22" s="37"/>
      <c r="C22" s="37"/>
      <c r="D22" s="37"/>
      <c r="E22" s="37"/>
      <c r="F22" s="37"/>
      <c r="G22" s="37"/>
      <c r="H22" s="37"/>
    </row>
    <row r="23" spans="1:9" x14ac:dyDescent="0.3">
      <c r="A23" s="37"/>
      <c r="B23" s="37"/>
      <c r="C23" s="37"/>
      <c r="D23" s="37"/>
      <c r="E23" s="37" t="s">
        <v>48</v>
      </c>
      <c r="F23" s="37"/>
      <c r="G23" s="37"/>
      <c r="H23" s="37"/>
    </row>
    <row r="24" spans="1:9" x14ac:dyDescent="0.3">
      <c r="A24" s="37"/>
      <c r="B24" s="37"/>
      <c r="C24" s="37"/>
      <c r="D24" s="37"/>
      <c r="E24" s="37"/>
      <c r="F24" s="37"/>
      <c r="G24" s="37"/>
      <c r="H24" s="37"/>
    </row>
    <row r="25" spans="1:9" x14ac:dyDescent="0.3">
      <c r="A25" s="38" t="s">
        <v>37</v>
      </c>
      <c r="B25" s="38" t="s">
        <v>38</v>
      </c>
      <c r="C25" s="38" t="s">
        <v>39</v>
      </c>
      <c r="D25" s="38" t="s">
        <v>40</v>
      </c>
      <c r="E25" s="38" t="s">
        <v>41</v>
      </c>
      <c r="F25" s="37"/>
      <c r="G25" s="71" t="s">
        <v>49</v>
      </c>
      <c r="H25" s="37"/>
    </row>
    <row r="26" spans="1:9" x14ac:dyDescent="0.3">
      <c r="A26" s="36" t="s">
        <v>42</v>
      </c>
      <c r="B26" s="36">
        <v>755</v>
      </c>
      <c r="C26" s="36">
        <v>1015</v>
      </c>
      <c r="D26" s="36">
        <v>700</v>
      </c>
      <c r="E26" s="36">
        <v>182000</v>
      </c>
      <c r="F26" s="37"/>
      <c r="G26" s="72">
        <v>0</v>
      </c>
      <c r="H26" s="37"/>
      <c r="I26" s="20"/>
    </row>
    <row r="27" spans="1:9" x14ac:dyDescent="0.3">
      <c r="A27" s="36" t="s">
        <v>43</v>
      </c>
      <c r="B27" s="36">
        <v>22</v>
      </c>
      <c r="C27" s="36">
        <v>29.1</v>
      </c>
      <c r="D27" s="36">
        <v>2200</v>
      </c>
      <c r="E27" s="36">
        <v>15620.000000000004</v>
      </c>
      <c r="F27" s="37"/>
      <c r="G27" s="37"/>
      <c r="H27" s="37"/>
      <c r="I27" s="20"/>
    </row>
    <row r="28" spans="1:9" x14ac:dyDescent="0.3">
      <c r="A28" s="36" t="s">
        <v>44</v>
      </c>
      <c r="B28" s="36">
        <v>36</v>
      </c>
      <c r="C28" s="36">
        <v>37</v>
      </c>
      <c r="D28" s="36">
        <v>300</v>
      </c>
      <c r="E28" s="36">
        <v>300</v>
      </c>
      <c r="F28" s="37"/>
      <c r="G28" s="37"/>
      <c r="H28" s="37"/>
      <c r="I28" s="20"/>
    </row>
    <row r="29" spans="1:9" x14ac:dyDescent="0.3">
      <c r="A29" s="36" t="s">
        <v>45</v>
      </c>
      <c r="B29" s="36">
        <v>36</v>
      </c>
      <c r="C29" s="36">
        <v>36</v>
      </c>
      <c r="D29" s="36">
        <v>4000</v>
      </c>
      <c r="E29" s="36">
        <v>0</v>
      </c>
      <c r="F29" s="37"/>
      <c r="G29" s="37"/>
      <c r="H29" s="37"/>
      <c r="I29" s="20"/>
    </row>
    <row r="30" spans="1:9" x14ac:dyDescent="0.3">
      <c r="A30" s="36" t="s">
        <v>46</v>
      </c>
      <c r="B30" s="36">
        <v>51</v>
      </c>
      <c r="C30" s="36">
        <v>42</v>
      </c>
      <c r="D30" s="36">
        <v>700</v>
      </c>
      <c r="E30" s="36">
        <v>-6300</v>
      </c>
      <c r="F30" s="37"/>
      <c r="G30" s="37"/>
      <c r="H30" s="37"/>
      <c r="I30" s="20"/>
    </row>
    <row r="31" spans="1:9" x14ac:dyDescent="0.3">
      <c r="A31" s="36" t="s">
        <v>47</v>
      </c>
      <c r="B31" s="36">
        <v>31</v>
      </c>
      <c r="C31" s="36">
        <v>17</v>
      </c>
      <c r="D31" s="36">
        <v>400</v>
      </c>
      <c r="E31" s="36">
        <v>-5600</v>
      </c>
      <c r="F31" s="37"/>
      <c r="G31" s="37"/>
      <c r="H31" s="37"/>
      <c r="I31" s="20"/>
    </row>
    <row r="32" spans="1:9" x14ac:dyDescent="0.3">
      <c r="A32" s="37"/>
      <c r="B32" s="37"/>
      <c r="C32" s="37"/>
      <c r="D32" s="37"/>
      <c r="E32" s="37"/>
      <c r="F32" s="37"/>
      <c r="G32" s="37"/>
      <c r="H32" s="37"/>
    </row>
    <row r="33" spans="1:8" x14ac:dyDescent="0.3">
      <c r="A33" s="37"/>
      <c r="B33" s="37"/>
      <c r="C33" s="37"/>
      <c r="D33" s="37"/>
      <c r="E33" s="37"/>
      <c r="F33" s="37"/>
      <c r="G33" s="37"/>
      <c r="H33" s="37"/>
    </row>
    <row r="34" spans="1:8" x14ac:dyDescent="0.3">
      <c r="A34" s="37"/>
      <c r="B34" s="37"/>
      <c r="C34" s="37"/>
      <c r="D34" s="37"/>
      <c r="E34" s="37"/>
      <c r="F34" s="37"/>
      <c r="G34" s="37"/>
      <c r="H34" s="37"/>
    </row>
    <row r="35" spans="1:8" x14ac:dyDescent="0.3">
      <c r="A35" s="37"/>
      <c r="B35" s="37"/>
      <c r="C35" s="37"/>
      <c r="D35" s="37"/>
      <c r="E35" s="37"/>
      <c r="F35" s="37"/>
      <c r="G35" s="37"/>
      <c r="H35" s="37"/>
    </row>
    <row r="36" spans="1:8" x14ac:dyDescent="0.3">
      <c r="A36" s="37"/>
      <c r="B36" s="37"/>
      <c r="C36" s="37"/>
      <c r="D36" s="37"/>
      <c r="E36" s="37"/>
      <c r="F36" s="37"/>
      <c r="G36" s="37"/>
      <c r="H36" s="37"/>
    </row>
    <row r="37" spans="1:8" x14ac:dyDescent="0.3">
      <c r="A37" s="37"/>
      <c r="B37" s="37"/>
      <c r="C37" s="37"/>
      <c r="D37" s="37"/>
      <c r="E37" s="37"/>
      <c r="F37" s="37"/>
      <c r="G37" s="37"/>
      <c r="H37" s="37"/>
    </row>
  </sheetData>
  <mergeCells count="1">
    <mergeCell ref="A3:E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0000"/>
  </sheetPr>
  <dimension ref="A2:I30"/>
  <sheetViews>
    <sheetView zoomScale="81" zoomScaleNormal="100" workbookViewId="0">
      <selection sqref="A1:XFD1"/>
    </sheetView>
  </sheetViews>
  <sheetFormatPr defaultColWidth="9.21875" defaultRowHeight="14.4" x14ac:dyDescent="0.3"/>
  <cols>
    <col min="1" max="1" width="9.21875" style="21"/>
    <col min="2" max="2" width="14.21875" style="21" customWidth="1"/>
    <col min="3" max="3" width="14" style="21" customWidth="1"/>
    <col min="4" max="16384" width="9.21875" style="21"/>
  </cols>
  <sheetData>
    <row r="2" spans="1:7" x14ac:dyDescent="0.3">
      <c r="A2" s="116" t="s">
        <v>25</v>
      </c>
      <c r="B2" s="116"/>
      <c r="C2" s="116"/>
      <c r="D2" s="116"/>
      <c r="E2" s="116"/>
    </row>
    <row r="4" spans="1:7" x14ac:dyDescent="0.3">
      <c r="A4" s="33" t="s">
        <v>37</v>
      </c>
      <c r="B4" s="33" t="s">
        <v>38</v>
      </c>
      <c r="C4" s="33" t="s">
        <v>39</v>
      </c>
      <c r="D4" s="33" t="s">
        <v>40</v>
      </c>
      <c r="E4" s="33" t="s">
        <v>41</v>
      </c>
    </row>
    <row r="5" spans="1:7" x14ac:dyDescent="0.3">
      <c r="A5" s="20" t="s">
        <v>42</v>
      </c>
      <c r="B5" s="34">
        <v>755</v>
      </c>
      <c r="C5" s="34">
        <v>1015</v>
      </c>
      <c r="D5" s="20">
        <v>700</v>
      </c>
      <c r="E5" s="20">
        <v>182000</v>
      </c>
    </row>
    <row r="6" spans="1:7" x14ac:dyDescent="0.3">
      <c r="A6" s="20" t="s">
        <v>43</v>
      </c>
      <c r="B6" s="34">
        <v>22</v>
      </c>
      <c r="C6" s="34">
        <v>29.1</v>
      </c>
      <c r="D6" s="20">
        <v>2200</v>
      </c>
      <c r="E6" s="20">
        <v>15620.000000000004</v>
      </c>
    </row>
    <row r="7" spans="1:7" x14ac:dyDescent="0.3">
      <c r="A7" s="20" t="s">
        <v>44</v>
      </c>
      <c r="B7" s="34">
        <v>36</v>
      </c>
      <c r="C7" s="34">
        <v>37</v>
      </c>
      <c r="D7" s="20">
        <v>300</v>
      </c>
      <c r="E7" s="20">
        <v>300</v>
      </c>
    </row>
    <row r="8" spans="1:7" x14ac:dyDescent="0.3">
      <c r="A8" s="20" t="s">
        <v>45</v>
      </c>
      <c r="B8" s="34">
        <v>36</v>
      </c>
      <c r="C8" s="34">
        <v>36</v>
      </c>
      <c r="D8" s="20">
        <v>4000</v>
      </c>
      <c r="E8" s="20">
        <v>0</v>
      </c>
    </row>
    <row r="9" spans="1:7" x14ac:dyDescent="0.3">
      <c r="A9" s="20" t="s">
        <v>46</v>
      </c>
      <c r="B9" s="34">
        <v>51</v>
      </c>
      <c r="C9" s="34">
        <v>42</v>
      </c>
      <c r="D9" s="20">
        <v>700</v>
      </c>
      <c r="E9" s="20">
        <v>-6300</v>
      </c>
    </row>
    <row r="10" spans="1:7" x14ac:dyDescent="0.3">
      <c r="A10" s="20" t="s">
        <v>47</v>
      </c>
      <c r="B10" s="34">
        <v>31</v>
      </c>
      <c r="C10" s="34">
        <v>17</v>
      </c>
      <c r="D10" s="20">
        <v>400</v>
      </c>
      <c r="E10" s="20">
        <v>-5600</v>
      </c>
    </row>
    <row r="12" spans="1:7" x14ac:dyDescent="0.3">
      <c r="E12" s="21" t="s">
        <v>48</v>
      </c>
    </row>
    <row r="14" spans="1:7" x14ac:dyDescent="0.3">
      <c r="A14" s="33" t="s">
        <v>37</v>
      </c>
      <c r="B14" s="33" t="s">
        <v>38</v>
      </c>
      <c r="C14" s="33" t="s">
        <v>39</v>
      </c>
      <c r="D14" s="33" t="s">
        <v>40</v>
      </c>
      <c r="E14" s="33" t="s">
        <v>41</v>
      </c>
      <c r="G14" s="35" t="s">
        <v>49</v>
      </c>
    </row>
    <row r="15" spans="1:7" x14ac:dyDescent="0.3">
      <c r="A15" s="20" t="s">
        <v>42</v>
      </c>
      <c r="B15" s="34">
        <v>755</v>
      </c>
      <c r="C15" s="34">
        <v>1015</v>
      </c>
      <c r="D15" s="20">
        <v>700</v>
      </c>
      <c r="E15" s="20">
        <v>182000</v>
      </c>
      <c r="G15" s="20">
        <v>0</v>
      </c>
    </row>
    <row r="16" spans="1:7" x14ac:dyDescent="0.3">
      <c r="A16" s="20" t="s">
        <v>43</v>
      </c>
      <c r="B16" s="34">
        <v>22</v>
      </c>
      <c r="C16" s="34">
        <v>29.1</v>
      </c>
      <c r="D16" s="20">
        <v>2200</v>
      </c>
      <c r="E16" s="20">
        <v>15620.000000000004</v>
      </c>
    </row>
    <row r="17" spans="1:9" x14ac:dyDescent="0.3">
      <c r="A17" s="20" t="s">
        <v>44</v>
      </c>
      <c r="B17" s="34">
        <v>36</v>
      </c>
      <c r="C17" s="34">
        <v>37</v>
      </c>
      <c r="D17" s="20">
        <v>300</v>
      </c>
      <c r="E17" s="20">
        <v>300</v>
      </c>
    </row>
    <row r="18" spans="1:9" x14ac:dyDescent="0.3">
      <c r="A18" s="20" t="s">
        <v>45</v>
      </c>
      <c r="B18" s="34">
        <v>36</v>
      </c>
      <c r="C18" s="34">
        <v>36</v>
      </c>
      <c r="D18" s="20">
        <v>4000</v>
      </c>
      <c r="E18" s="20">
        <v>0</v>
      </c>
    </row>
    <row r="19" spans="1:9" x14ac:dyDescent="0.3">
      <c r="A19" s="20" t="s">
        <v>46</v>
      </c>
      <c r="B19" s="34">
        <v>51</v>
      </c>
      <c r="C19" s="34">
        <v>42</v>
      </c>
      <c r="D19" s="20">
        <v>700</v>
      </c>
      <c r="E19" s="20">
        <v>-6300</v>
      </c>
    </row>
    <row r="20" spans="1:9" x14ac:dyDescent="0.3">
      <c r="A20" s="20" t="s">
        <v>47</v>
      </c>
      <c r="B20" s="34">
        <v>31</v>
      </c>
      <c r="C20" s="34">
        <v>17</v>
      </c>
      <c r="D20" s="20">
        <v>400</v>
      </c>
      <c r="E20" s="20">
        <v>-5600</v>
      </c>
    </row>
    <row r="22" spans="1:9" x14ac:dyDescent="0.3">
      <c r="E22" s="21" t="s">
        <v>48</v>
      </c>
    </row>
    <row r="24" spans="1:9" x14ac:dyDescent="0.3">
      <c r="A24" s="33" t="s">
        <v>37</v>
      </c>
      <c r="B24" s="33" t="s">
        <v>38</v>
      </c>
      <c r="C24" s="33" t="s">
        <v>39</v>
      </c>
      <c r="D24" s="33" t="s">
        <v>40</v>
      </c>
      <c r="E24" s="33" t="s">
        <v>41</v>
      </c>
      <c r="G24" s="35" t="s">
        <v>49</v>
      </c>
    </row>
    <row r="25" spans="1:9" x14ac:dyDescent="0.3">
      <c r="A25" s="20" t="s">
        <v>42</v>
      </c>
      <c r="B25" s="34">
        <v>755</v>
      </c>
      <c r="C25" s="34">
        <v>1015</v>
      </c>
      <c r="D25" s="20">
        <v>700</v>
      </c>
      <c r="E25" s="20">
        <v>182000</v>
      </c>
      <c r="G25" s="20">
        <v>0</v>
      </c>
      <c r="I25" s="20" t="b">
        <f>E25&lt;$G$25</f>
        <v>0</v>
      </c>
    </row>
    <row r="26" spans="1:9" x14ac:dyDescent="0.3">
      <c r="A26" s="20" t="s">
        <v>43</v>
      </c>
      <c r="B26" s="34">
        <v>22</v>
      </c>
      <c r="C26" s="34">
        <v>29.1</v>
      </c>
      <c r="D26" s="20">
        <v>2200</v>
      </c>
      <c r="E26" s="20">
        <v>15620.000000000004</v>
      </c>
      <c r="I26" s="20" t="b">
        <f t="shared" ref="I26:I30" si="0">E26&lt;$G$25</f>
        <v>0</v>
      </c>
    </row>
    <row r="27" spans="1:9" x14ac:dyDescent="0.3">
      <c r="A27" s="20" t="s">
        <v>44</v>
      </c>
      <c r="B27" s="34">
        <v>36</v>
      </c>
      <c r="C27" s="34">
        <v>37</v>
      </c>
      <c r="D27" s="20">
        <v>300</v>
      </c>
      <c r="E27" s="20">
        <v>300</v>
      </c>
      <c r="I27" s="20" t="b">
        <f t="shared" si="0"/>
        <v>0</v>
      </c>
    </row>
    <row r="28" spans="1:9" x14ac:dyDescent="0.3">
      <c r="A28" s="20" t="s">
        <v>45</v>
      </c>
      <c r="B28" s="34">
        <v>36</v>
      </c>
      <c r="C28" s="34">
        <v>36</v>
      </c>
      <c r="D28" s="20">
        <v>4000</v>
      </c>
      <c r="E28" s="20">
        <v>0</v>
      </c>
      <c r="I28" s="20" t="b">
        <f t="shared" si="0"/>
        <v>0</v>
      </c>
    </row>
    <row r="29" spans="1:9" x14ac:dyDescent="0.3">
      <c r="A29" s="20" t="s">
        <v>46</v>
      </c>
      <c r="B29" s="34">
        <v>51</v>
      </c>
      <c r="C29" s="34">
        <v>42</v>
      </c>
      <c r="D29" s="20">
        <v>700</v>
      </c>
      <c r="E29" s="20">
        <v>-6300</v>
      </c>
      <c r="I29" s="20" t="b">
        <f t="shared" si="0"/>
        <v>1</v>
      </c>
    </row>
    <row r="30" spans="1:9" x14ac:dyDescent="0.3">
      <c r="A30" s="20" t="s">
        <v>47</v>
      </c>
      <c r="B30" s="34">
        <v>31</v>
      </c>
      <c r="C30" s="34">
        <v>17</v>
      </c>
      <c r="D30" s="20">
        <v>400</v>
      </c>
      <c r="E30" s="20">
        <v>-5600</v>
      </c>
      <c r="I30" s="20" t="b">
        <f t="shared" si="0"/>
        <v>1</v>
      </c>
    </row>
  </sheetData>
  <sheetProtection algorithmName="SHA-512" hashValue="bmSzu0FEbbfMelKj3+rrfPBY9KRBvdZWNSlcpw4kG95VBabqI1Vtrb/H4CsCEsiRZR1GMTRumgL5Wn2SurqzPA==" saltValue="T11Tf/fI3NcLcyHXz95Y7A==" spinCount="100000" sheet="1" objects="1" scenarios="1" selectLockedCells="1" selectUnlockedCells="1"/>
  <mergeCells count="1">
    <mergeCell ref="A2:E2"/>
  </mergeCells>
  <conditionalFormatting sqref="E5:E10">
    <cfRule type="cellIs" dxfId="19" priority="3" operator="lessThan">
      <formula>0</formula>
    </cfRule>
  </conditionalFormatting>
  <conditionalFormatting sqref="E15:E20">
    <cfRule type="cellIs" dxfId="18" priority="2" operator="lessThan">
      <formula>$G$15</formula>
    </cfRule>
  </conditionalFormatting>
  <conditionalFormatting sqref="E25:E30">
    <cfRule type="expression" dxfId="17" priority="1">
      <formula>E25&lt;$G$25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2:D20"/>
  <sheetViews>
    <sheetView zoomScaleNormal="100" workbookViewId="0">
      <selection activeCell="D20" sqref="D20"/>
    </sheetView>
  </sheetViews>
  <sheetFormatPr defaultColWidth="9.21875" defaultRowHeight="14.4" x14ac:dyDescent="0.3"/>
  <cols>
    <col min="1" max="1" width="16.77734375" style="21" customWidth="1"/>
    <col min="2" max="2" width="22.77734375" style="21" customWidth="1"/>
    <col min="3" max="3" width="15.5546875" style="21" customWidth="1"/>
    <col min="4" max="16384" width="9.21875" style="21"/>
  </cols>
  <sheetData>
    <row r="2" spans="1:4" x14ac:dyDescent="0.3">
      <c r="A2" s="32" t="s">
        <v>62</v>
      </c>
      <c r="B2" s="32"/>
      <c r="C2" s="32"/>
      <c r="D2" s="32"/>
    </row>
    <row r="4" spans="1:4" x14ac:dyDescent="0.3">
      <c r="A4" s="40" t="s">
        <v>51</v>
      </c>
      <c r="B4" s="40" t="s">
        <v>53</v>
      </c>
      <c r="C4" s="40" t="s">
        <v>50</v>
      </c>
    </row>
    <row r="5" spans="1:4" x14ac:dyDescent="0.3">
      <c r="A5" s="20" t="s">
        <v>52</v>
      </c>
      <c r="B5" s="36">
        <v>15000</v>
      </c>
      <c r="C5" s="36">
        <v>15000</v>
      </c>
    </row>
    <row r="6" spans="1:4" x14ac:dyDescent="0.3">
      <c r="A6" s="20" t="s">
        <v>54</v>
      </c>
      <c r="B6" s="36">
        <v>195500</v>
      </c>
      <c r="C6" s="36">
        <v>215809.25</v>
      </c>
    </row>
    <row r="7" spans="1:4" x14ac:dyDescent="0.3">
      <c r="A7" s="20" t="s">
        <v>55</v>
      </c>
      <c r="B7" s="36">
        <v>59800</v>
      </c>
      <c r="C7" s="36">
        <v>59852.11</v>
      </c>
    </row>
    <row r="8" spans="1:4" x14ac:dyDescent="0.3">
      <c r="A8" s="20" t="s">
        <v>56</v>
      </c>
      <c r="B8" s="36">
        <v>356500</v>
      </c>
      <c r="C8" s="36">
        <v>345089.25</v>
      </c>
    </row>
    <row r="9" spans="1:4" x14ac:dyDescent="0.3">
      <c r="A9" s="20" t="s">
        <v>57</v>
      </c>
      <c r="B9" s="36">
        <v>159000</v>
      </c>
      <c r="C9" s="36">
        <v>149087.25</v>
      </c>
    </row>
    <row r="10" spans="1:4" x14ac:dyDescent="0.3">
      <c r="A10" s="20" t="s">
        <v>58</v>
      </c>
      <c r="B10" s="36">
        <v>105000</v>
      </c>
      <c r="C10" s="36">
        <v>105000</v>
      </c>
    </row>
    <row r="11" spans="1:4" x14ac:dyDescent="0.3">
      <c r="A11" s="20" t="s">
        <v>59</v>
      </c>
      <c r="B11" s="36">
        <v>7500</v>
      </c>
      <c r="C11" s="36">
        <v>65809.25</v>
      </c>
    </row>
    <row r="12" spans="1:4" x14ac:dyDescent="0.3">
      <c r="B12" s="37"/>
      <c r="C12" s="37"/>
    </row>
    <row r="13" spans="1:4" x14ac:dyDescent="0.3">
      <c r="A13" s="40" t="s">
        <v>51</v>
      </c>
      <c r="B13" s="41" t="s">
        <v>53</v>
      </c>
      <c r="C13" s="41" t="s">
        <v>50</v>
      </c>
    </row>
    <row r="14" spans="1:4" x14ac:dyDescent="0.3">
      <c r="A14" s="20" t="s">
        <v>52</v>
      </c>
      <c r="B14" s="36">
        <v>15000</v>
      </c>
      <c r="C14" s="36">
        <v>15000</v>
      </c>
    </row>
    <row r="15" spans="1:4" x14ac:dyDescent="0.3">
      <c r="A15" s="20" t="s">
        <v>54</v>
      </c>
      <c r="B15" s="36">
        <v>195500</v>
      </c>
      <c r="C15" s="36">
        <v>215809.25</v>
      </c>
    </row>
    <row r="16" spans="1:4" x14ac:dyDescent="0.3">
      <c r="A16" s="20" t="s">
        <v>55</v>
      </c>
      <c r="B16" s="36">
        <v>59800</v>
      </c>
      <c r="C16" s="36">
        <v>59852.11</v>
      </c>
    </row>
    <row r="17" spans="1:3" x14ac:dyDescent="0.3">
      <c r="A17" s="20" t="s">
        <v>56</v>
      </c>
      <c r="B17" s="36">
        <v>356500</v>
      </c>
      <c r="C17" s="36">
        <v>345089.25</v>
      </c>
    </row>
    <row r="18" spans="1:3" x14ac:dyDescent="0.3">
      <c r="A18" s="20" t="s">
        <v>57</v>
      </c>
      <c r="B18" s="36">
        <v>159000</v>
      </c>
      <c r="C18" s="36">
        <v>149087.25</v>
      </c>
    </row>
    <row r="19" spans="1:3" x14ac:dyDescent="0.3">
      <c r="A19" s="20" t="s">
        <v>58</v>
      </c>
      <c r="B19" s="36">
        <v>105000</v>
      </c>
      <c r="C19" s="36">
        <v>105000</v>
      </c>
    </row>
    <row r="20" spans="1:3" x14ac:dyDescent="0.3">
      <c r="A20" s="20" t="s">
        <v>59</v>
      </c>
      <c r="B20" s="36">
        <v>7500</v>
      </c>
      <c r="C20" s="36">
        <v>65809.25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0000"/>
  </sheetPr>
  <dimension ref="A2:E20"/>
  <sheetViews>
    <sheetView zoomScaleNormal="100" workbookViewId="0">
      <selection activeCell="E9" sqref="E9"/>
    </sheetView>
  </sheetViews>
  <sheetFormatPr defaultColWidth="9.21875" defaultRowHeight="14.4" x14ac:dyDescent="0.3"/>
  <cols>
    <col min="1" max="1" width="16.77734375" style="21" customWidth="1"/>
    <col min="2" max="2" width="22.77734375" style="21" customWidth="1"/>
    <col min="3" max="3" width="15.5546875" style="21" customWidth="1"/>
    <col min="4" max="16384" width="9.21875" style="21"/>
  </cols>
  <sheetData>
    <row r="2" spans="1:5" x14ac:dyDescent="0.3">
      <c r="A2" s="32" t="s">
        <v>62</v>
      </c>
      <c r="B2" s="32"/>
      <c r="C2" s="32"/>
      <c r="D2" s="32"/>
    </row>
    <row r="4" spans="1:5" x14ac:dyDescent="0.3">
      <c r="A4" s="40" t="s">
        <v>51</v>
      </c>
      <c r="B4" s="40" t="s">
        <v>53</v>
      </c>
      <c r="C4" s="40" t="s">
        <v>50</v>
      </c>
    </row>
    <row r="5" spans="1:5" x14ac:dyDescent="0.3">
      <c r="A5" s="20" t="s">
        <v>52</v>
      </c>
      <c r="B5" s="36">
        <v>15000</v>
      </c>
      <c r="C5" s="36">
        <v>15000</v>
      </c>
    </row>
    <row r="6" spans="1:5" x14ac:dyDescent="0.3">
      <c r="A6" s="20" t="s">
        <v>54</v>
      </c>
      <c r="B6" s="36">
        <v>195500</v>
      </c>
      <c r="C6" s="36">
        <v>215809.25</v>
      </c>
    </row>
    <row r="7" spans="1:5" x14ac:dyDescent="0.3">
      <c r="A7" s="20" t="s">
        <v>55</v>
      </c>
      <c r="B7" s="36">
        <v>59800</v>
      </c>
      <c r="C7" s="36">
        <v>59852.11</v>
      </c>
    </row>
    <row r="8" spans="1:5" x14ac:dyDescent="0.3">
      <c r="A8" s="20" t="s">
        <v>56</v>
      </c>
      <c r="B8" s="36">
        <v>356500</v>
      </c>
      <c r="C8" s="36">
        <v>345089.25</v>
      </c>
    </row>
    <row r="9" spans="1:5" x14ac:dyDescent="0.3">
      <c r="A9" s="20" t="s">
        <v>57</v>
      </c>
      <c r="B9" s="36">
        <v>159000</v>
      </c>
      <c r="C9" s="36">
        <v>149087.25</v>
      </c>
    </row>
    <row r="10" spans="1:5" x14ac:dyDescent="0.3">
      <c r="A10" s="20" t="s">
        <v>58</v>
      </c>
      <c r="B10" s="36">
        <v>105000</v>
      </c>
      <c r="C10" s="36">
        <v>105000</v>
      </c>
    </row>
    <row r="11" spans="1:5" x14ac:dyDescent="0.3">
      <c r="A11" s="20" t="s">
        <v>59</v>
      </c>
      <c r="B11" s="36">
        <v>7500</v>
      </c>
      <c r="C11" s="36">
        <v>65809.25</v>
      </c>
    </row>
    <row r="12" spans="1:5" x14ac:dyDescent="0.3">
      <c r="B12" s="37"/>
      <c r="C12" s="37"/>
    </row>
    <row r="13" spans="1:5" x14ac:dyDescent="0.3">
      <c r="A13" s="40" t="s">
        <v>51</v>
      </c>
      <c r="B13" s="41" t="s">
        <v>53</v>
      </c>
      <c r="C13" s="41" t="s">
        <v>50</v>
      </c>
    </row>
    <row r="14" spans="1:5" x14ac:dyDescent="0.3">
      <c r="A14" s="20" t="s">
        <v>52</v>
      </c>
      <c r="B14" s="36">
        <v>15000</v>
      </c>
      <c r="C14" s="36">
        <v>15000</v>
      </c>
      <c r="E14" s="20" t="b">
        <f>C14&gt;B14</f>
        <v>0</v>
      </c>
    </row>
    <row r="15" spans="1:5" x14ac:dyDescent="0.3">
      <c r="A15" s="20" t="s">
        <v>54</v>
      </c>
      <c r="B15" s="36">
        <v>195500</v>
      </c>
      <c r="C15" s="36">
        <v>215809.25</v>
      </c>
      <c r="E15" s="20" t="b">
        <f t="shared" ref="E15:E20" si="0">C15&gt;B15</f>
        <v>1</v>
      </c>
    </row>
    <row r="16" spans="1:5" x14ac:dyDescent="0.3">
      <c r="A16" s="20" t="s">
        <v>55</v>
      </c>
      <c r="B16" s="36">
        <v>59800</v>
      </c>
      <c r="C16" s="36">
        <v>59852.11</v>
      </c>
      <c r="E16" s="20" t="b">
        <f t="shared" si="0"/>
        <v>1</v>
      </c>
    </row>
    <row r="17" spans="1:5" x14ac:dyDescent="0.3">
      <c r="A17" s="20" t="s">
        <v>56</v>
      </c>
      <c r="B17" s="36">
        <v>356500</v>
      </c>
      <c r="C17" s="36">
        <v>345089.25</v>
      </c>
      <c r="E17" s="20" t="b">
        <f t="shared" si="0"/>
        <v>0</v>
      </c>
    </row>
    <row r="18" spans="1:5" x14ac:dyDescent="0.3">
      <c r="A18" s="20" t="s">
        <v>57</v>
      </c>
      <c r="B18" s="36">
        <v>159000</v>
      </c>
      <c r="C18" s="36">
        <v>149087.25</v>
      </c>
      <c r="E18" s="20" t="b">
        <f t="shared" si="0"/>
        <v>0</v>
      </c>
    </row>
    <row r="19" spans="1:5" x14ac:dyDescent="0.3">
      <c r="A19" s="20" t="s">
        <v>58</v>
      </c>
      <c r="B19" s="36">
        <v>105000</v>
      </c>
      <c r="C19" s="36">
        <v>105000</v>
      </c>
      <c r="E19" s="20" t="b">
        <f t="shared" si="0"/>
        <v>0</v>
      </c>
    </row>
    <row r="20" spans="1:5" x14ac:dyDescent="0.3">
      <c r="A20" s="20" t="s">
        <v>59</v>
      </c>
      <c r="B20" s="36">
        <v>7500</v>
      </c>
      <c r="C20" s="36">
        <v>65809.25</v>
      </c>
      <c r="E20" s="20" t="b">
        <f t="shared" si="0"/>
        <v>1</v>
      </c>
    </row>
  </sheetData>
  <sheetProtection algorithmName="SHA-512" hashValue="y7XEsAYtkBdhjRaqRMB5hw8EWwsKPatpn85RGQrpX43iVrchW3+rvVd/n+JC/PWJ3QCJ0SaQM/7ILPr+hsCgEw==" saltValue="KLdLE0YvXdfmv1XkEgU+Ug==" spinCount="100000" sheet="1" objects="1" scenarios="1" selectLockedCells="1" selectUnlockedCells="1"/>
  <conditionalFormatting sqref="C5:C11">
    <cfRule type="cellIs" dxfId="16" priority="2" operator="greaterThan">
      <formula>B5</formula>
    </cfRule>
  </conditionalFormatting>
  <conditionalFormatting sqref="C14:C20">
    <cfRule type="expression" dxfId="15" priority="1">
      <formula>C14&gt;B14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00FF"/>
  </sheetPr>
  <dimension ref="A2:I55"/>
  <sheetViews>
    <sheetView zoomScaleNormal="100" workbookViewId="0">
      <selection activeCell="J13" sqref="J13"/>
    </sheetView>
  </sheetViews>
  <sheetFormatPr defaultColWidth="9.21875" defaultRowHeight="14.4" x14ac:dyDescent="0.3"/>
  <cols>
    <col min="1" max="1" width="15.21875" style="21" bestFit="1" customWidth="1"/>
    <col min="2" max="2" width="10.33203125" style="21" bestFit="1" customWidth="1"/>
    <col min="3" max="3" width="14.21875" style="21" customWidth="1"/>
    <col min="4" max="4" width="11.77734375" style="21" customWidth="1"/>
    <col min="5" max="5" width="10.77734375" style="21" customWidth="1"/>
    <col min="6" max="6" width="11.21875" style="21" customWidth="1"/>
    <col min="7" max="16384" width="9.21875" style="21"/>
  </cols>
  <sheetData>
    <row r="2" spans="1:9" x14ac:dyDescent="0.3">
      <c r="A2" s="118" t="s">
        <v>60</v>
      </c>
      <c r="B2" s="118"/>
      <c r="C2" s="118"/>
      <c r="D2" s="118"/>
      <c r="E2" s="118"/>
      <c r="F2" s="118"/>
      <c r="G2" s="118"/>
    </row>
    <row r="4" spans="1:9" x14ac:dyDescent="0.3">
      <c r="A4" s="44" t="s">
        <v>0</v>
      </c>
      <c r="H4" s="45"/>
      <c r="I4" s="46"/>
    </row>
    <row r="5" spans="1:9" x14ac:dyDescent="0.3">
      <c r="A5" s="47">
        <v>41279</v>
      </c>
      <c r="H5" s="45"/>
      <c r="I5" s="46"/>
    </row>
    <row r="6" spans="1:9" x14ac:dyDescent="0.3">
      <c r="A6" s="37"/>
      <c r="B6" s="37"/>
      <c r="C6" s="37"/>
      <c r="D6" s="37"/>
      <c r="E6" s="37"/>
      <c r="F6" s="37"/>
      <c r="H6" s="45"/>
      <c r="I6" s="46"/>
    </row>
    <row r="7" spans="1:9" x14ac:dyDescent="0.3">
      <c r="A7" s="42" t="s">
        <v>26</v>
      </c>
      <c r="B7" s="42" t="s">
        <v>0</v>
      </c>
      <c r="C7" s="42" t="s">
        <v>1</v>
      </c>
      <c r="D7" s="42" t="s">
        <v>2</v>
      </c>
      <c r="E7" s="42" t="s">
        <v>3</v>
      </c>
      <c r="F7" s="42" t="s">
        <v>4</v>
      </c>
    </row>
    <row r="8" spans="1:9" x14ac:dyDescent="0.3">
      <c r="A8" s="43">
        <v>659443</v>
      </c>
      <c r="B8" s="73">
        <v>41279</v>
      </c>
      <c r="C8" s="43" t="s">
        <v>27</v>
      </c>
      <c r="D8" s="43" t="s">
        <v>5</v>
      </c>
      <c r="E8" s="43">
        <v>4536</v>
      </c>
      <c r="F8" s="43">
        <v>2358.7199999999998</v>
      </c>
    </row>
    <row r="9" spans="1:9" x14ac:dyDescent="0.3">
      <c r="A9" s="43">
        <v>659453</v>
      </c>
      <c r="B9" s="73">
        <v>41284</v>
      </c>
      <c r="C9" s="43" t="s">
        <v>6</v>
      </c>
      <c r="D9" s="43" t="s">
        <v>17</v>
      </c>
      <c r="E9" s="43">
        <v>4309.2</v>
      </c>
      <c r="F9" s="43">
        <v>2326.9499999999998</v>
      </c>
    </row>
    <row r="10" spans="1:9" x14ac:dyDescent="0.3">
      <c r="A10" s="43">
        <v>659444</v>
      </c>
      <c r="B10" s="73">
        <v>41279</v>
      </c>
      <c r="C10" s="43" t="s">
        <v>6</v>
      </c>
      <c r="D10" s="43" t="s">
        <v>9</v>
      </c>
      <c r="E10" s="43">
        <v>3938.4</v>
      </c>
      <c r="F10" s="43">
        <v>1890.4</v>
      </c>
    </row>
    <row r="11" spans="1:9" x14ac:dyDescent="0.3">
      <c r="A11" s="43">
        <v>659446</v>
      </c>
      <c r="B11" s="73">
        <v>41279</v>
      </c>
      <c r="C11" s="43" t="s">
        <v>27</v>
      </c>
      <c r="D11" s="43" t="s">
        <v>5</v>
      </c>
      <c r="E11" s="43">
        <v>3361.2</v>
      </c>
      <c r="F11" s="43">
        <v>1579.75</v>
      </c>
    </row>
    <row r="12" spans="1:9" x14ac:dyDescent="0.3">
      <c r="A12" s="43">
        <v>659446</v>
      </c>
      <c r="B12" s="73">
        <v>41279</v>
      </c>
      <c r="C12" s="43" t="s">
        <v>27</v>
      </c>
      <c r="D12" s="43" t="s">
        <v>13</v>
      </c>
      <c r="E12" s="43">
        <v>3174</v>
      </c>
      <c r="F12" s="43">
        <v>1713.96</v>
      </c>
    </row>
    <row r="13" spans="1:9" x14ac:dyDescent="0.3">
      <c r="A13" s="43">
        <v>659442</v>
      </c>
      <c r="B13" s="73">
        <v>41278</v>
      </c>
      <c r="C13" s="43" t="s">
        <v>27</v>
      </c>
      <c r="D13" s="43" t="s">
        <v>5</v>
      </c>
      <c r="E13" s="43">
        <v>2772</v>
      </c>
      <c r="F13" s="43">
        <v>1469.16</v>
      </c>
    </row>
    <row r="14" spans="1:9" x14ac:dyDescent="0.3">
      <c r="A14" s="43">
        <v>659446</v>
      </c>
      <c r="B14" s="73">
        <v>41279</v>
      </c>
      <c r="C14" s="43" t="s">
        <v>27</v>
      </c>
      <c r="D14" s="43" t="s">
        <v>5</v>
      </c>
      <c r="E14" s="43">
        <v>2744.98</v>
      </c>
      <c r="F14" s="43">
        <v>1317.61</v>
      </c>
    </row>
    <row r="15" spans="1:9" x14ac:dyDescent="0.3">
      <c r="A15" s="43">
        <v>659455</v>
      </c>
      <c r="B15" s="73">
        <v>41285</v>
      </c>
      <c r="C15" s="43" t="s">
        <v>27</v>
      </c>
      <c r="D15" s="43" t="s">
        <v>10</v>
      </c>
      <c r="E15" s="43">
        <v>2631.6</v>
      </c>
      <c r="F15" s="43">
        <v>1421.04</v>
      </c>
    </row>
    <row r="16" spans="1:9" x14ac:dyDescent="0.3">
      <c r="A16" s="43">
        <v>659457</v>
      </c>
      <c r="B16" s="73">
        <v>41286</v>
      </c>
      <c r="C16" s="43" t="s">
        <v>28</v>
      </c>
      <c r="D16" s="43" t="s">
        <v>11</v>
      </c>
      <c r="E16" s="43">
        <v>2394</v>
      </c>
      <c r="F16" s="43">
        <v>1292.76</v>
      </c>
    </row>
    <row r="17" spans="1:6" x14ac:dyDescent="0.3">
      <c r="A17" s="43">
        <v>659446</v>
      </c>
      <c r="B17" s="73">
        <v>41279</v>
      </c>
      <c r="C17" s="43" t="s">
        <v>27</v>
      </c>
      <c r="D17" s="43" t="s">
        <v>5</v>
      </c>
      <c r="E17" s="43">
        <v>2304</v>
      </c>
      <c r="F17" s="43">
        <v>1082.8800000000001</v>
      </c>
    </row>
    <row r="18" spans="1:6" x14ac:dyDescent="0.3">
      <c r="A18" s="43">
        <v>659441</v>
      </c>
      <c r="B18" s="73">
        <v>41277</v>
      </c>
      <c r="C18" s="43" t="s">
        <v>27</v>
      </c>
      <c r="D18" s="43" t="s">
        <v>8</v>
      </c>
      <c r="E18" s="43">
        <v>1980</v>
      </c>
      <c r="F18" s="43">
        <v>990</v>
      </c>
    </row>
    <row r="19" spans="1:6" x14ac:dyDescent="0.3">
      <c r="A19" s="43">
        <v>659440</v>
      </c>
      <c r="B19" s="73">
        <v>41276</v>
      </c>
      <c r="C19" s="43" t="s">
        <v>6</v>
      </c>
      <c r="D19" s="43" t="s">
        <v>9</v>
      </c>
      <c r="E19" s="43">
        <v>1957.6</v>
      </c>
      <c r="F19" s="43">
        <v>1037.55</v>
      </c>
    </row>
    <row r="20" spans="1:6" x14ac:dyDescent="0.3">
      <c r="A20" s="43">
        <v>659454</v>
      </c>
      <c r="B20" s="73">
        <v>41285</v>
      </c>
      <c r="C20" s="43" t="s">
        <v>28</v>
      </c>
      <c r="D20" s="43" t="s">
        <v>12</v>
      </c>
      <c r="E20" s="43">
        <v>1672</v>
      </c>
      <c r="F20" s="43">
        <v>819.28</v>
      </c>
    </row>
    <row r="21" spans="1:6" x14ac:dyDescent="0.3">
      <c r="A21" s="43">
        <v>659447</v>
      </c>
      <c r="B21" s="73">
        <v>41279</v>
      </c>
      <c r="C21" s="43" t="s">
        <v>28</v>
      </c>
      <c r="D21" s="43" t="s">
        <v>15</v>
      </c>
      <c r="E21" s="43">
        <v>1664</v>
      </c>
      <c r="F21" s="43">
        <v>881.92</v>
      </c>
    </row>
    <row r="22" spans="1:6" x14ac:dyDescent="0.3">
      <c r="A22" s="43">
        <v>659445</v>
      </c>
      <c r="B22" s="73">
        <v>41279</v>
      </c>
      <c r="C22" s="43" t="s">
        <v>27</v>
      </c>
      <c r="D22" s="43" t="s">
        <v>8</v>
      </c>
      <c r="E22" s="43">
        <v>1650</v>
      </c>
      <c r="F22" s="43">
        <v>792</v>
      </c>
    </row>
    <row r="23" spans="1:6" x14ac:dyDescent="0.3">
      <c r="A23" s="43">
        <v>659455</v>
      </c>
      <c r="B23" s="73">
        <v>41285</v>
      </c>
      <c r="C23" s="43" t="s">
        <v>28</v>
      </c>
      <c r="D23" s="43" t="s">
        <v>14</v>
      </c>
      <c r="E23" s="43">
        <v>1632</v>
      </c>
      <c r="F23" s="43">
        <v>767.04</v>
      </c>
    </row>
    <row r="24" spans="1:6" x14ac:dyDescent="0.3">
      <c r="A24" s="43">
        <v>659452</v>
      </c>
      <c r="B24" s="73">
        <v>41284</v>
      </c>
      <c r="C24" s="43" t="s">
        <v>28</v>
      </c>
      <c r="D24" s="43" t="s">
        <v>14</v>
      </c>
      <c r="E24" s="43">
        <v>1360</v>
      </c>
      <c r="F24" s="43">
        <v>639.20000000000005</v>
      </c>
    </row>
    <row r="25" spans="1:6" x14ac:dyDescent="0.3">
      <c r="A25" s="43">
        <v>659458</v>
      </c>
      <c r="B25" s="73">
        <v>41287</v>
      </c>
      <c r="C25" s="43" t="s">
        <v>6</v>
      </c>
      <c r="D25" s="43" t="s">
        <v>17</v>
      </c>
      <c r="E25" s="43">
        <v>1316.7</v>
      </c>
      <c r="F25" s="43">
        <v>618.84</v>
      </c>
    </row>
    <row r="26" spans="1:6" x14ac:dyDescent="0.3">
      <c r="A26" s="43">
        <v>659439</v>
      </c>
      <c r="B26" s="73">
        <v>41275</v>
      </c>
      <c r="C26" s="43" t="s">
        <v>27</v>
      </c>
      <c r="D26" s="43" t="s">
        <v>5</v>
      </c>
      <c r="E26" s="43">
        <v>1232.44</v>
      </c>
      <c r="F26" s="43">
        <v>591.58000000000004</v>
      </c>
    </row>
    <row r="27" spans="1:6" x14ac:dyDescent="0.3">
      <c r="A27" s="43">
        <v>659456</v>
      </c>
      <c r="B27" s="73">
        <v>41286</v>
      </c>
      <c r="C27" s="43" t="s">
        <v>27</v>
      </c>
      <c r="D27" s="43" t="s">
        <v>13</v>
      </c>
      <c r="E27" s="43">
        <v>1150</v>
      </c>
      <c r="F27" s="43">
        <v>552</v>
      </c>
    </row>
    <row r="28" spans="1:6" x14ac:dyDescent="0.3">
      <c r="A28" s="43">
        <v>659446</v>
      </c>
      <c r="B28" s="73">
        <v>41279</v>
      </c>
      <c r="C28" s="43" t="s">
        <v>28</v>
      </c>
      <c r="D28" s="43" t="s">
        <v>12</v>
      </c>
      <c r="E28" s="43">
        <v>1008.72</v>
      </c>
      <c r="F28" s="43">
        <v>504.36</v>
      </c>
    </row>
    <row r="29" spans="1:6" x14ac:dyDescent="0.3">
      <c r="A29" s="43">
        <v>659450</v>
      </c>
      <c r="B29" s="73">
        <v>41282</v>
      </c>
      <c r="C29" s="43" t="s">
        <v>27</v>
      </c>
      <c r="D29" s="43" t="s">
        <v>5</v>
      </c>
      <c r="E29" s="43">
        <v>962.88</v>
      </c>
      <c r="F29" s="43">
        <v>510.32</v>
      </c>
    </row>
    <row r="30" spans="1:6" x14ac:dyDescent="0.3">
      <c r="A30" s="43">
        <v>659446</v>
      </c>
      <c r="B30" s="73">
        <v>41279</v>
      </c>
      <c r="C30" s="43" t="s">
        <v>28</v>
      </c>
      <c r="D30" s="43" t="s">
        <v>11</v>
      </c>
      <c r="E30" s="43">
        <v>730.2</v>
      </c>
      <c r="F30" s="43">
        <v>365.1</v>
      </c>
    </row>
    <row r="31" spans="1:6" x14ac:dyDescent="0.3">
      <c r="A31" s="43">
        <v>659448</v>
      </c>
      <c r="B31" s="73">
        <v>41280</v>
      </c>
      <c r="C31" s="43" t="s">
        <v>28</v>
      </c>
      <c r="D31" s="43" t="s">
        <v>11</v>
      </c>
      <c r="E31" s="43">
        <v>670.4</v>
      </c>
      <c r="F31" s="43">
        <v>355.28</v>
      </c>
    </row>
    <row r="32" spans="1:6" x14ac:dyDescent="0.3">
      <c r="A32" s="43">
        <v>659455</v>
      </c>
      <c r="B32" s="73">
        <v>41285</v>
      </c>
      <c r="C32" s="43" t="s">
        <v>28</v>
      </c>
      <c r="D32" s="43" t="s">
        <v>11</v>
      </c>
      <c r="E32" s="43">
        <v>670.4</v>
      </c>
      <c r="F32" s="43">
        <v>341.92</v>
      </c>
    </row>
    <row r="33" spans="1:6" x14ac:dyDescent="0.3">
      <c r="A33" s="43">
        <v>659449</v>
      </c>
      <c r="B33" s="73">
        <v>41281</v>
      </c>
      <c r="C33" s="43" t="s">
        <v>27</v>
      </c>
      <c r="D33" s="43" t="s">
        <v>13</v>
      </c>
      <c r="E33" s="43">
        <v>611.41999999999996</v>
      </c>
      <c r="F33" s="43">
        <v>324.06</v>
      </c>
    </row>
    <row r="34" spans="1:6" x14ac:dyDescent="0.3">
      <c r="A34" s="43">
        <v>659441</v>
      </c>
      <c r="B34" s="73">
        <v>41277</v>
      </c>
      <c r="C34" s="43" t="s">
        <v>27</v>
      </c>
      <c r="D34" s="43" t="s">
        <v>5</v>
      </c>
      <c r="E34" s="43">
        <v>561.67999999999995</v>
      </c>
      <c r="F34" s="43">
        <v>303.31</v>
      </c>
    </row>
    <row r="35" spans="1:6" x14ac:dyDescent="0.3">
      <c r="A35" s="43">
        <v>659443</v>
      </c>
      <c r="B35" s="73">
        <v>41279</v>
      </c>
      <c r="C35" s="43" t="s">
        <v>27</v>
      </c>
      <c r="D35" s="43" t="s">
        <v>10</v>
      </c>
      <c r="E35" s="43">
        <v>503.1</v>
      </c>
      <c r="F35" s="43">
        <v>251.56</v>
      </c>
    </row>
    <row r="36" spans="1:6" x14ac:dyDescent="0.3">
      <c r="A36" s="43">
        <v>659456</v>
      </c>
      <c r="B36" s="73">
        <v>41286</v>
      </c>
      <c r="C36" s="43" t="s">
        <v>28</v>
      </c>
      <c r="D36" s="43" t="s">
        <v>12</v>
      </c>
      <c r="E36" s="43">
        <v>495</v>
      </c>
      <c r="F36" s="43">
        <v>237.6</v>
      </c>
    </row>
    <row r="37" spans="1:6" x14ac:dyDescent="0.3">
      <c r="A37" s="43">
        <v>659444</v>
      </c>
      <c r="B37" s="73">
        <v>41279</v>
      </c>
      <c r="C37" s="43" t="s">
        <v>27</v>
      </c>
      <c r="D37" s="43" t="s">
        <v>10</v>
      </c>
      <c r="E37" s="43">
        <v>464.96</v>
      </c>
      <c r="F37" s="43">
        <v>237.12</v>
      </c>
    </row>
    <row r="38" spans="1:6" x14ac:dyDescent="0.3">
      <c r="A38" s="43">
        <v>659440</v>
      </c>
      <c r="B38" s="73">
        <v>41276</v>
      </c>
      <c r="C38" s="43" t="s">
        <v>6</v>
      </c>
      <c r="D38" s="43" t="s">
        <v>7</v>
      </c>
      <c r="E38" s="43">
        <v>451.2</v>
      </c>
      <c r="F38" s="43">
        <v>212.08</v>
      </c>
    </row>
    <row r="39" spans="1:6" x14ac:dyDescent="0.3">
      <c r="A39" s="43">
        <v>659455</v>
      </c>
      <c r="B39" s="73">
        <v>41285</v>
      </c>
      <c r="C39" s="43" t="s">
        <v>6</v>
      </c>
      <c r="D39" s="43" t="s">
        <v>7</v>
      </c>
      <c r="E39" s="43">
        <v>394.8</v>
      </c>
      <c r="F39" s="43">
        <v>197.4</v>
      </c>
    </row>
    <row r="40" spans="1:6" x14ac:dyDescent="0.3">
      <c r="A40" s="43">
        <v>659455</v>
      </c>
      <c r="B40" s="73">
        <v>41285</v>
      </c>
      <c r="C40" s="43" t="s">
        <v>28</v>
      </c>
      <c r="D40" s="43" t="s">
        <v>11</v>
      </c>
      <c r="E40" s="43">
        <v>368.72</v>
      </c>
      <c r="F40" s="43">
        <v>188.04</v>
      </c>
    </row>
    <row r="41" spans="1:6" x14ac:dyDescent="0.3">
      <c r="A41" s="43">
        <v>659440</v>
      </c>
      <c r="B41" s="73">
        <v>41276</v>
      </c>
      <c r="C41" s="43" t="s">
        <v>27</v>
      </c>
      <c r="D41" s="43" t="s">
        <v>8</v>
      </c>
      <c r="E41" s="43">
        <v>357.5</v>
      </c>
      <c r="F41" s="43">
        <v>193.06</v>
      </c>
    </row>
    <row r="42" spans="1:6" x14ac:dyDescent="0.3">
      <c r="A42" s="43">
        <v>659451</v>
      </c>
      <c r="B42" s="73">
        <v>41283</v>
      </c>
      <c r="C42" s="43" t="s">
        <v>6</v>
      </c>
      <c r="D42" s="43" t="s">
        <v>16</v>
      </c>
      <c r="E42" s="43">
        <v>256.2</v>
      </c>
      <c r="F42" s="43">
        <v>140.9</v>
      </c>
    </row>
    <row r="43" spans="1:6" x14ac:dyDescent="0.3">
      <c r="A43" s="43">
        <v>659453</v>
      </c>
      <c r="B43" s="73">
        <v>41284</v>
      </c>
      <c r="C43" s="43" t="s">
        <v>6</v>
      </c>
      <c r="D43" s="43" t="s">
        <v>7</v>
      </c>
      <c r="E43" s="43">
        <v>241.28</v>
      </c>
      <c r="F43" s="43">
        <v>132.72</v>
      </c>
    </row>
    <row r="44" spans="1:6" x14ac:dyDescent="0.3">
      <c r="A44" s="43">
        <v>659455</v>
      </c>
      <c r="B44" s="73">
        <v>41285</v>
      </c>
      <c r="C44" s="43" t="s">
        <v>28</v>
      </c>
      <c r="D44" s="43" t="s">
        <v>11</v>
      </c>
      <c r="E44" s="43">
        <v>219.06</v>
      </c>
      <c r="F44" s="43">
        <v>118.3</v>
      </c>
    </row>
    <row r="45" spans="1:6" x14ac:dyDescent="0.3">
      <c r="A45" s="43">
        <v>659458</v>
      </c>
      <c r="B45" s="73">
        <v>41287</v>
      </c>
      <c r="C45" s="43" t="s">
        <v>6</v>
      </c>
      <c r="D45" s="43" t="s">
        <v>16</v>
      </c>
      <c r="E45" s="43">
        <v>207.36</v>
      </c>
      <c r="F45" s="43">
        <v>107.82</v>
      </c>
    </row>
    <row r="46" spans="1:6" x14ac:dyDescent="0.3">
      <c r="A46" s="43">
        <v>659451</v>
      </c>
      <c r="B46" s="73">
        <v>41283</v>
      </c>
      <c r="C46" s="43" t="s">
        <v>6</v>
      </c>
      <c r="D46" s="43" t="s">
        <v>7</v>
      </c>
      <c r="E46" s="43">
        <v>203.04</v>
      </c>
      <c r="F46" s="43">
        <v>95.4</v>
      </c>
    </row>
    <row r="47" spans="1:6" x14ac:dyDescent="0.3">
      <c r="A47" s="43">
        <v>659455</v>
      </c>
      <c r="B47" s="73">
        <v>41285</v>
      </c>
      <c r="C47" s="43" t="s">
        <v>27</v>
      </c>
      <c r="D47" s="43" t="s">
        <v>5</v>
      </c>
      <c r="E47" s="43">
        <v>200.6</v>
      </c>
      <c r="F47" s="43">
        <v>106.32</v>
      </c>
    </row>
    <row r="48" spans="1:6" x14ac:dyDescent="0.3">
      <c r="A48" s="43">
        <v>659459</v>
      </c>
      <c r="B48" s="73">
        <v>41288</v>
      </c>
      <c r="C48" s="43" t="s">
        <v>6</v>
      </c>
      <c r="D48" s="43" t="s">
        <v>16</v>
      </c>
      <c r="E48" s="43">
        <v>183</v>
      </c>
      <c r="F48" s="43">
        <v>95.2</v>
      </c>
    </row>
    <row r="49" spans="1:6" x14ac:dyDescent="0.3">
      <c r="A49" s="43">
        <v>659445</v>
      </c>
      <c r="B49" s="73">
        <v>41279</v>
      </c>
      <c r="C49" s="43" t="s">
        <v>28</v>
      </c>
      <c r="D49" s="43" t="s">
        <v>11</v>
      </c>
      <c r="E49" s="43">
        <v>114</v>
      </c>
      <c r="F49" s="43">
        <v>55.86</v>
      </c>
    </row>
    <row r="50" spans="1:6" x14ac:dyDescent="0.3">
      <c r="A50" s="43">
        <v>659457</v>
      </c>
      <c r="B50" s="73">
        <v>41286</v>
      </c>
      <c r="C50" s="43" t="s">
        <v>28</v>
      </c>
      <c r="D50" s="43" t="s">
        <v>14</v>
      </c>
      <c r="E50" s="43">
        <v>60.6</v>
      </c>
      <c r="F50" s="43">
        <v>28.5</v>
      </c>
    </row>
    <row r="51" spans="1:6" x14ac:dyDescent="0.3">
      <c r="A51" s="43">
        <v>659456</v>
      </c>
      <c r="B51" s="73">
        <v>41286</v>
      </c>
      <c r="C51" s="43" t="s">
        <v>6</v>
      </c>
      <c r="D51" s="43" t="s">
        <v>16</v>
      </c>
      <c r="E51" s="43">
        <v>51.24</v>
      </c>
      <c r="F51" s="43">
        <v>27.16</v>
      </c>
    </row>
    <row r="52" spans="1:6" x14ac:dyDescent="0.3">
      <c r="A52" s="43">
        <v>659447</v>
      </c>
      <c r="B52" s="73">
        <v>41279</v>
      </c>
      <c r="C52" s="43" t="s">
        <v>28</v>
      </c>
      <c r="D52" s="43" t="s">
        <v>14</v>
      </c>
      <c r="E52" s="43">
        <v>48.48</v>
      </c>
      <c r="F52" s="43">
        <v>25.2</v>
      </c>
    </row>
    <row r="53" spans="1:6" x14ac:dyDescent="0.3">
      <c r="A53" s="43">
        <v>659457</v>
      </c>
      <c r="B53" s="73">
        <v>41286</v>
      </c>
      <c r="C53" s="43" t="s">
        <v>6</v>
      </c>
      <c r="D53" s="43" t="s">
        <v>16</v>
      </c>
      <c r="E53" s="43">
        <v>40.26</v>
      </c>
      <c r="F53" s="43">
        <v>21.33</v>
      </c>
    </row>
    <row r="54" spans="1:6" x14ac:dyDescent="0.3">
      <c r="A54" s="43">
        <v>659455</v>
      </c>
      <c r="B54" s="73">
        <v>41285</v>
      </c>
      <c r="C54" s="43" t="s">
        <v>6</v>
      </c>
      <c r="D54" s="43" t="s">
        <v>16</v>
      </c>
      <c r="E54" s="43">
        <v>39.04</v>
      </c>
      <c r="F54" s="43">
        <v>19.52</v>
      </c>
    </row>
    <row r="55" spans="1:6" x14ac:dyDescent="0.3">
      <c r="A55" s="37"/>
      <c r="B55" s="37"/>
      <c r="C55" s="37"/>
      <c r="D55" s="37"/>
      <c r="E55" s="37"/>
      <c r="F55" s="37"/>
    </row>
  </sheetData>
  <mergeCells count="1">
    <mergeCell ref="A2:G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0000"/>
  </sheetPr>
  <dimension ref="A1:I54"/>
  <sheetViews>
    <sheetView zoomScaleNormal="100" workbookViewId="0">
      <selection sqref="A1:XFD1"/>
    </sheetView>
  </sheetViews>
  <sheetFormatPr defaultRowHeight="14.4" x14ac:dyDescent="0.3"/>
  <cols>
    <col min="1" max="1" width="15.21875" bestFit="1" customWidth="1"/>
    <col min="2" max="2" width="10.77734375" bestFit="1" customWidth="1"/>
    <col min="3" max="3" width="14.21875" customWidth="1"/>
    <col min="4" max="4" width="11.77734375" customWidth="1"/>
    <col min="5" max="5" width="10.77734375" customWidth="1"/>
    <col min="6" max="6" width="11.21875" customWidth="1"/>
  </cols>
  <sheetData>
    <row r="1" spans="1:9" s="21" customFormat="1" x14ac:dyDescent="0.3"/>
    <row r="2" spans="1:9" x14ac:dyDescent="0.3">
      <c r="A2" s="119" t="s">
        <v>60</v>
      </c>
      <c r="B2" s="119"/>
      <c r="C2" s="119"/>
      <c r="D2" s="119"/>
      <c r="E2" s="119"/>
      <c r="F2" s="119"/>
      <c r="G2" s="119"/>
    </row>
    <row r="4" spans="1:9" x14ac:dyDescent="0.3">
      <c r="A4" s="16" t="s">
        <v>0</v>
      </c>
      <c r="H4" s="12"/>
      <c r="I4" s="11"/>
    </row>
    <row r="5" spans="1:9" x14ac:dyDescent="0.3">
      <c r="A5" s="13">
        <v>41279</v>
      </c>
      <c r="H5" s="12"/>
      <c r="I5" s="11"/>
    </row>
    <row r="6" spans="1:9" x14ac:dyDescent="0.3">
      <c r="H6" s="12"/>
      <c r="I6" s="11"/>
    </row>
    <row r="7" spans="1:9" x14ac:dyDescent="0.3">
      <c r="A7" s="1" t="s">
        <v>26</v>
      </c>
      <c r="B7" s="1" t="s">
        <v>0</v>
      </c>
      <c r="C7" s="1" t="s">
        <v>1</v>
      </c>
      <c r="D7" s="1" t="s">
        <v>2</v>
      </c>
      <c r="E7" s="1" t="s">
        <v>3</v>
      </c>
      <c r="F7" s="1" t="s">
        <v>4</v>
      </c>
    </row>
    <row r="8" spans="1:9" x14ac:dyDescent="0.3">
      <c r="A8" s="2">
        <v>659443</v>
      </c>
      <c r="B8" s="3">
        <v>41279</v>
      </c>
      <c r="C8" s="2" t="s">
        <v>27</v>
      </c>
      <c r="D8" s="2" t="s">
        <v>5</v>
      </c>
      <c r="E8" s="4">
        <v>4536</v>
      </c>
      <c r="F8" s="4">
        <v>2358.7199999999998</v>
      </c>
    </row>
    <row r="9" spans="1:9" x14ac:dyDescent="0.3">
      <c r="A9" s="2">
        <v>659453</v>
      </c>
      <c r="B9" s="3">
        <v>41284</v>
      </c>
      <c r="C9" s="2" t="s">
        <v>6</v>
      </c>
      <c r="D9" s="2" t="s">
        <v>17</v>
      </c>
      <c r="E9" s="4">
        <v>4309.2</v>
      </c>
      <c r="F9" s="4">
        <v>2326.9499999999998</v>
      </c>
    </row>
    <row r="10" spans="1:9" x14ac:dyDescent="0.3">
      <c r="A10" s="2">
        <v>659444</v>
      </c>
      <c r="B10" s="3">
        <v>41279</v>
      </c>
      <c r="C10" s="2" t="s">
        <v>6</v>
      </c>
      <c r="D10" s="2" t="s">
        <v>9</v>
      </c>
      <c r="E10" s="4">
        <v>3938.4</v>
      </c>
      <c r="F10" s="4">
        <v>1890.4</v>
      </c>
    </row>
    <row r="11" spans="1:9" x14ac:dyDescent="0.3">
      <c r="A11" s="2">
        <v>659446</v>
      </c>
      <c r="B11" s="3">
        <v>41279</v>
      </c>
      <c r="C11" s="2" t="s">
        <v>27</v>
      </c>
      <c r="D11" s="2" t="s">
        <v>5</v>
      </c>
      <c r="E11" s="4">
        <v>3361.2</v>
      </c>
      <c r="F11" s="4">
        <v>1579.75</v>
      </c>
    </row>
    <row r="12" spans="1:9" x14ac:dyDescent="0.3">
      <c r="A12" s="2">
        <v>659446</v>
      </c>
      <c r="B12" s="3">
        <v>41279</v>
      </c>
      <c r="C12" s="2" t="s">
        <v>27</v>
      </c>
      <c r="D12" s="2" t="s">
        <v>13</v>
      </c>
      <c r="E12" s="4">
        <v>3174</v>
      </c>
      <c r="F12" s="4">
        <v>1713.96</v>
      </c>
    </row>
    <row r="13" spans="1:9" x14ac:dyDescent="0.3">
      <c r="A13" s="2">
        <v>659442</v>
      </c>
      <c r="B13" s="3">
        <v>41278</v>
      </c>
      <c r="C13" s="2" t="s">
        <v>27</v>
      </c>
      <c r="D13" s="2" t="s">
        <v>5</v>
      </c>
      <c r="E13" s="4">
        <v>2772</v>
      </c>
      <c r="F13" s="4">
        <v>1469.16</v>
      </c>
    </row>
    <row r="14" spans="1:9" x14ac:dyDescent="0.3">
      <c r="A14" s="2">
        <v>659446</v>
      </c>
      <c r="B14" s="3">
        <v>41279</v>
      </c>
      <c r="C14" s="2" t="s">
        <v>27</v>
      </c>
      <c r="D14" s="2" t="s">
        <v>5</v>
      </c>
      <c r="E14" s="4">
        <v>2744.98</v>
      </c>
      <c r="F14" s="4">
        <v>1317.61</v>
      </c>
    </row>
    <row r="15" spans="1:9" x14ac:dyDescent="0.3">
      <c r="A15" s="2">
        <v>659455</v>
      </c>
      <c r="B15" s="3">
        <v>41285</v>
      </c>
      <c r="C15" s="2" t="s">
        <v>27</v>
      </c>
      <c r="D15" s="2" t="s">
        <v>10</v>
      </c>
      <c r="E15" s="4">
        <v>2631.6</v>
      </c>
      <c r="F15" s="4">
        <v>1421.04</v>
      </c>
    </row>
    <row r="16" spans="1:9" x14ac:dyDescent="0.3">
      <c r="A16" s="2">
        <v>659457</v>
      </c>
      <c r="B16" s="3">
        <v>41286</v>
      </c>
      <c r="C16" s="2" t="s">
        <v>28</v>
      </c>
      <c r="D16" s="2" t="s">
        <v>11</v>
      </c>
      <c r="E16" s="4">
        <v>2394</v>
      </c>
      <c r="F16" s="4">
        <v>1292.76</v>
      </c>
    </row>
    <row r="17" spans="1:6" x14ac:dyDescent="0.3">
      <c r="A17" s="2">
        <v>659446</v>
      </c>
      <c r="B17" s="3">
        <v>41279</v>
      </c>
      <c r="C17" s="2" t="s">
        <v>27</v>
      </c>
      <c r="D17" s="2" t="s">
        <v>5</v>
      </c>
      <c r="E17" s="4">
        <v>2304</v>
      </c>
      <c r="F17" s="4">
        <v>1082.8800000000001</v>
      </c>
    </row>
    <row r="18" spans="1:6" x14ac:dyDescent="0.3">
      <c r="A18" s="2">
        <v>659441</v>
      </c>
      <c r="B18" s="3">
        <v>41277</v>
      </c>
      <c r="C18" s="2" t="s">
        <v>27</v>
      </c>
      <c r="D18" s="2" t="s">
        <v>8</v>
      </c>
      <c r="E18" s="4">
        <v>1980</v>
      </c>
      <c r="F18" s="4">
        <v>990</v>
      </c>
    </row>
    <row r="19" spans="1:6" x14ac:dyDescent="0.3">
      <c r="A19" s="2">
        <v>659440</v>
      </c>
      <c r="B19" s="3">
        <v>41276</v>
      </c>
      <c r="C19" s="2" t="s">
        <v>6</v>
      </c>
      <c r="D19" s="2" t="s">
        <v>9</v>
      </c>
      <c r="E19" s="4">
        <v>1957.6</v>
      </c>
      <c r="F19" s="4">
        <v>1037.55</v>
      </c>
    </row>
    <row r="20" spans="1:6" x14ac:dyDescent="0.3">
      <c r="A20" s="2">
        <v>659454</v>
      </c>
      <c r="B20" s="3">
        <v>41285</v>
      </c>
      <c r="C20" s="2" t="s">
        <v>28</v>
      </c>
      <c r="D20" s="2" t="s">
        <v>12</v>
      </c>
      <c r="E20" s="4">
        <v>1672</v>
      </c>
      <c r="F20" s="4">
        <v>819.28</v>
      </c>
    </row>
    <row r="21" spans="1:6" x14ac:dyDescent="0.3">
      <c r="A21" s="2">
        <v>659447</v>
      </c>
      <c r="B21" s="3">
        <v>41279</v>
      </c>
      <c r="C21" s="2" t="s">
        <v>28</v>
      </c>
      <c r="D21" s="2" t="s">
        <v>15</v>
      </c>
      <c r="E21" s="4">
        <v>1664</v>
      </c>
      <c r="F21" s="4">
        <v>881.92</v>
      </c>
    </row>
    <row r="22" spans="1:6" x14ac:dyDescent="0.3">
      <c r="A22" s="2">
        <v>659445</v>
      </c>
      <c r="B22" s="3">
        <v>41279</v>
      </c>
      <c r="C22" s="2" t="s">
        <v>27</v>
      </c>
      <c r="D22" s="2" t="s">
        <v>8</v>
      </c>
      <c r="E22" s="4">
        <v>1650</v>
      </c>
      <c r="F22" s="4">
        <v>792</v>
      </c>
    </row>
    <row r="23" spans="1:6" x14ac:dyDescent="0.3">
      <c r="A23" s="2">
        <v>659455</v>
      </c>
      <c r="B23" s="3">
        <v>41285</v>
      </c>
      <c r="C23" s="2" t="s">
        <v>28</v>
      </c>
      <c r="D23" s="2" t="s">
        <v>14</v>
      </c>
      <c r="E23" s="4">
        <v>1632</v>
      </c>
      <c r="F23" s="4">
        <v>767.04</v>
      </c>
    </row>
    <row r="24" spans="1:6" x14ac:dyDescent="0.3">
      <c r="A24" s="2">
        <v>659452</v>
      </c>
      <c r="B24" s="3">
        <v>41284</v>
      </c>
      <c r="C24" s="2" t="s">
        <v>28</v>
      </c>
      <c r="D24" s="2" t="s">
        <v>14</v>
      </c>
      <c r="E24" s="4">
        <v>1360</v>
      </c>
      <c r="F24" s="4">
        <v>639.20000000000005</v>
      </c>
    </row>
    <row r="25" spans="1:6" x14ac:dyDescent="0.3">
      <c r="A25" s="2">
        <v>659458</v>
      </c>
      <c r="B25" s="3">
        <v>41287</v>
      </c>
      <c r="C25" s="2" t="s">
        <v>6</v>
      </c>
      <c r="D25" s="2" t="s">
        <v>17</v>
      </c>
      <c r="E25" s="4">
        <v>1316.7</v>
      </c>
      <c r="F25" s="4">
        <v>618.84</v>
      </c>
    </row>
    <row r="26" spans="1:6" x14ac:dyDescent="0.3">
      <c r="A26" s="2">
        <v>659439</v>
      </c>
      <c r="B26" s="3">
        <v>41275</v>
      </c>
      <c r="C26" s="2" t="s">
        <v>27</v>
      </c>
      <c r="D26" s="2" t="s">
        <v>5</v>
      </c>
      <c r="E26" s="4">
        <v>1232.44</v>
      </c>
      <c r="F26" s="4">
        <v>591.58000000000004</v>
      </c>
    </row>
    <row r="27" spans="1:6" x14ac:dyDescent="0.3">
      <c r="A27" s="2">
        <v>659456</v>
      </c>
      <c r="B27" s="3">
        <v>41286</v>
      </c>
      <c r="C27" s="2" t="s">
        <v>27</v>
      </c>
      <c r="D27" s="2" t="s">
        <v>13</v>
      </c>
      <c r="E27" s="4">
        <v>1150</v>
      </c>
      <c r="F27" s="4">
        <v>552</v>
      </c>
    </row>
    <row r="28" spans="1:6" x14ac:dyDescent="0.3">
      <c r="A28" s="2">
        <v>659446</v>
      </c>
      <c r="B28" s="3">
        <v>41279</v>
      </c>
      <c r="C28" s="2" t="s">
        <v>28</v>
      </c>
      <c r="D28" s="2" t="s">
        <v>12</v>
      </c>
      <c r="E28" s="4">
        <v>1008.72</v>
      </c>
      <c r="F28" s="4">
        <v>504.36</v>
      </c>
    </row>
    <row r="29" spans="1:6" x14ac:dyDescent="0.3">
      <c r="A29" s="2">
        <v>659450</v>
      </c>
      <c r="B29" s="3">
        <v>41282</v>
      </c>
      <c r="C29" s="2" t="s">
        <v>27</v>
      </c>
      <c r="D29" s="2" t="s">
        <v>5</v>
      </c>
      <c r="E29" s="4">
        <v>962.88</v>
      </c>
      <c r="F29" s="4">
        <v>510.32</v>
      </c>
    </row>
    <row r="30" spans="1:6" x14ac:dyDescent="0.3">
      <c r="A30" s="2">
        <v>659446</v>
      </c>
      <c r="B30" s="3">
        <v>41279</v>
      </c>
      <c r="C30" s="2" t="s">
        <v>28</v>
      </c>
      <c r="D30" s="2" t="s">
        <v>11</v>
      </c>
      <c r="E30" s="4">
        <v>730.2</v>
      </c>
      <c r="F30" s="4">
        <v>365.1</v>
      </c>
    </row>
    <row r="31" spans="1:6" x14ac:dyDescent="0.3">
      <c r="A31" s="2">
        <v>659448</v>
      </c>
      <c r="B31" s="3">
        <v>41280</v>
      </c>
      <c r="C31" s="2" t="s">
        <v>28</v>
      </c>
      <c r="D31" s="2" t="s">
        <v>11</v>
      </c>
      <c r="E31" s="4">
        <v>670.4</v>
      </c>
      <c r="F31" s="4">
        <v>355.28</v>
      </c>
    </row>
    <row r="32" spans="1:6" x14ac:dyDescent="0.3">
      <c r="A32" s="2">
        <v>659455</v>
      </c>
      <c r="B32" s="3">
        <v>41285</v>
      </c>
      <c r="C32" s="2" t="s">
        <v>28</v>
      </c>
      <c r="D32" s="2" t="s">
        <v>11</v>
      </c>
      <c r="E32" s="4">
        <v>670.4</v>
      </c>
      <c r="F32" s="4">
        <v>341.92</v>
      </c>
    </row>
    <row r="33" spans="1:6" x14ac:dyDescent="0.3">
      <c r="A33" s="2">
        <v>659449</v>
      </c>
      <c r="B33" s="3">
        <v>41281</v>
      </c>
      <c r="C33" s="2" t="s">
        <v>27</v>
      </c>
      <c r="D33" s="2" t="s">
        <v>13</v>
      </c>
      <c r="E33" s="4">
        <v>611.41999999999996</v>
      </c>
      <c r="F33" s="4">
        <v>324.06</v>
      </c>
    </row>
    <row r="34" spans="1:6" x14ac:dyDescent="0.3">
      <c r="A34" s="2">
        <v>659441</v>
      </c>
      <c r="B34" s="3">
        <v>41277</v>
      </c>
      <c r="C34" s="2" t="s">
        <v>27</v>
      </c>
      <c r="D34" s="2" t="s">
        <v>5</v>
      </c>
      <c r="E34" s="4">
        <v>561.67999999999995</v>
      </c>
      <c r="F34" s="4">
        <v>303.31</v>
      </c>
    </row>
    <row r="35" spans="1:6" x14ac:dyDescent="0.3">
      <c r="A35" s="2">
        <v>659443</v>
      </c>
      <c r="B35" s="3">
        <v>41279</v>
      </c>
      <c r="C35" s="2" t="s">
        <v>27</v>
      </c>
      <c r="D35" s="2" t="s">
        <v>10</v>
      </c>
      <c r="E35" s="4">
        <v>503.1</v>
      </c>
      <c r="F35" s="4">
        <v>251.56</v>
      </c>
    </row>
    <row r="36" spans="1:6" x14ac:dyDescent="0.3">
      <c r="A36" s="2">
        <v>659456</v>
      </c>
      <c r="B36" s="3">
        <v>41286</v>
      </c>
      <c r="C36" s="2" t="s">
        <v>28</v>
      </c>
      <c r="D36" s="2" t="s">
        <v>12</v>
      </c>
      <c r="E36" s="4">
        <v>495</v>
      </c>
      <c r="F36" s="4">
        <v>237.6</v>
      </c>
    </row>
    <row r="37" spans="1:6" x14ac:dyDescent="0.3">
      <c r="A37" s="2">
        <v>659444</v>
      </c>
      <c r="B37" s="3">
        <v>41279</v>
      </c>
      <c r="C37" s="2" t="s">
        <v>27</v>
      </c>
      <c r="D37" s="2" t="s">
        <v>10</v>
      </c>
      <c r="E37" s="4">
        <v>464.96</v>
      </c>
      <c r="F37" s="4">
        <v>237.12</v>
      </c>
    </row>
    <row r="38" spans="1:6" x14ac:dyDescent="0.3">
      <c r="A38" s="2">
        <v>659440</v>
      </c>
      <c r="B38" s="3">
        <v>41276</v>
      </c>
      <c r="C38" s="2" t="s">
        <v>6</v>
      </c>
      <c r="D38" s="2" t="s">
        <v>7</v>
      </c>
      <c r="E38" s="4">
        <v>451.2</v>
      </c>
      <c r="F38" s="4">
        <v>212.08</v>
      </c>
    </row>
    <row r="39" spans="1:6" x14ac:dyDescent="0.3">
      <c r="A39" s="2">
        <v>659455</v>
      </c>
      <c r="B39" s="3">
        <v>41285</v>
      </c>
      <c r="C39" s="2" t="s">
        <v>6</v>
      </c>
      <c r="D39" s="2" t="s">
        <v>7</v>
      </c>
      <c r="E39" s="4">
        <v>394.8</v>
      </c>
      <c r="F39" s="4">
        <v>197.4</v>
      </c>
    </row>
    <row r="40" spans="1:6" x14ac:dyDescent="0.3">
      <c r="A40" s="2">
        <v>659455</v>
      </c>
      <c r="B40" s="3">
        <v>41285</v>
      </c>
      <c r="C40" s="2" t="s">
        <v>28</v>
      </c>
      <c r="D40" s="2" t="s">
        <v>11</v>
      </c>
      <c r="E40" s="4">
        <v>368.72</v>
      </c>
      <c r="F40" s="4">
        <v>188.04</v>
      </c>
    </row>
    <row r="41" spans="1:6" x14ac:dyDescent="0.3">
      <c r="A41" s="2">
        <v>659440</v>
      </c>
      <c r="B41" s="3">
        <v>41276</v>
      </c>
      <c r="C41" s="2" t="s">
        <v>27</v>
      </c>
      <c r="D41" s="2" t="s">
        <v>8</v>
      </c>
      <c r="E41" s="4">
        <v>357.5</v>
      </c>
      <c r="F41" s="4">
        <v>193.06</v>
      </c>
    </row>
    <row r="42" spans="1:6" x14ac:dyDescent="0.3">
      <c r="A42" s="2">
        <v>659451</v>
      </c>
      <c r="B42" s="3">
        <v>41283</v>
      </c>
      <c r="C42" s="2" t="s">
        <v>6</v>
      </c>
      <c r="D42" s="2" t="s">
        <v>16</v>
      </c>
      <c r="E42" s="4">
        <v>256.2</v>
      </c>
      <c r="F42" s="4">
        <v>140.9</v>
      </c>
    </row>
    <row r="43" spans="1:6" x14ac:dyDescent="0.3">
      <c r="A43" s="2">
        <v>659453</v>
      </c>
      <c r="B43" s="3">
        <v>41284</v>
      </c>
      <c r="C43" s="2" t="s">
        <v>6</v>
      </c>
      <c r="D43" s="2" t="s">
        <v>7</v>
      </c>
      <c r="E43" s="4">
        <v>241.28</v>
      </c>
      <c r="F43" s="4">
        <v>132.72</v>
      </c>
    </row>
    <row r="44" spans="1:6" x14ac:dyDescent="0.3">
      <c r="A44" s="2">
        <v>659455</v>
      </c>
      <c r="B44" s="3">
        <v>41285</v>
      </c>
      <c r="C44" s="2" t="s">
        <v>28</v>
      </c>
      <c r="D44" s="2" t="s">
        <v>11</v>
      </c>
      <c r="E44" s="4">
        <v>219.06</v>
      </c>
      <c r="F44" s="4">
        <v>118.3</v>
      </c>
    </row>
    <row r="45" spans="1:6" x14ac:dyDescent="0.3">
      <c r="A45" s="2">
        <v>659458</v>
      </c>
      <c r="B45" s="3">
        <v>41287</v>
      </c>
      <c r="C45" s="2" t="s">
        <v>6</v>
      </c>
      <c r="D45" s="2" t="s">
        <v>16</v>
      </c>
      <c r="E45" s="4">
        <v>207.36</v>
      </c>
      <c r="F45" s="4">
        <v>107.82</v>
      </c>
    </row>
    <row r="46" spans="1:6" x14ac:dyDescent="0.3">
      <c r="A46" s="2">
        <v>659451</v>
      </c>
      <c r="B46" s="3">
        <v>41283</v>
      </c>
      <c r="C46" s="2" t="s">
        <v>6</v>
      </c>
      <c r="D46" s="2" t="s">
        <v>7</v>
      </c>
      <c r="E46" s="4">
        <v>203.04</v>
      </c>
      <c r="F46" s="4">
        <v>95.4</v>
      </c>
    </row>
    <row r="47" spans="1:6" x14ac:dyDescent="0.3">
      <c r="A47" s="2">
        <v>659455</v>
      </c>
      <c r="B47" s="3">
        <v>41285</v>
      </c>
      <c r="C47" s="2" t="s">
        <v>27</v>
      </c>
      <c r="D47" s="2" t="s">
        <v>5</v>
      </c>
      <c r="E47" s="4">
        <v>200.6</v>
      </c>
      <c r="F47" s="4">
        <v>106.32</v>
      </c>
    </row>
    <row r="48" spans="1:6" x14ac:dyDescent="0.3">
      <c r="A48" s="2">
        <v>659459</v>
      </c>
      <c r="B48" s="3">
        <v>41288</v>
      </c>
      <c r="C48" s="2" t="s">
        <v>6</v>
      </c>
      <c r="D48" s="2" t="s">
        <v>16</v>
      </c>
      <c r="E48" s="4">
        <v>183</v>
      </c>
      <c r="F48" s="4">
        <v>95.2</v>
      </c>
    </row>
    <row r="49" spans="1:6" x14ac:dyDescent="0.3">
      <c r="A49" s="2">
        <v>659445</v>
      </c>
      <c r="B49" s="3">
        <v>41279</v>
      </c>
      <c r="C49" s="2" t="s">
        <v>28</v>
      </c>
      <c r="D49" s="2" t="s">
        <v>11</v>
      </c>
      <c r="E49" s="4">
        <v>114</v>
      </c>
      <c r="F49" s="4">
        <v>55.86</v>
      </c>
    </row>
    <row r="50" spans="1:6" x14ac:dyDescent="0.3">
      <c r="A50" s="2">
        <v>659457</v>
      </c>
      <c r="B50" s="3">
        <v>41286</v>
      </c>
      <c r="C50" s="2" t="s">
        <v>28</v>
      </c>
      <c r="D50" s="2" t="s">
        <v>14</v>
      </c>
      <c r="E50" s="4">
        <v>60.6</v>
      </c>
      <c r="F50" s="4">
        <v>28.5</v>
      </c>
    </row>
    <row r="51" spans="1:6" x14ac:dyDescent="0.3">
      <c r="A51" s="2">
        <v>659456</v>
      </c>
      <c r="B51" s="3">
        <v>41286</v>
      </c>
      <c r="C51" s="2" t="s">
        <v>6</v>
      </c>
      <c r="D51" s="2" t="s">
        <v>16</v>
      </c>
      <c r="E51" s="4">
        <v>51.24</v>
      </c>
      <c r="F51" s="4">
        <v>27.16</v>
      </c>
    </row>
    <row r="52" spans="1:6" x14ac:dyDescent="0.3">
      <c r="A52" s="2">
        <v>659447</v>
      </c>
      <c r="B52" s="3">
        <v>41279</v>
      </c>
      <c r="C52" s="2" t="s">
        <v>28</v>
      </c>
      <c r="D52" s="2" t="s">
        <v>14</v>
      </c>
      <c r="E52" s="4">
        <v>48.48</v>
      </c>
      <c r="F52" s="4">
        <v>25.2</v>
      </c>
    </row>
    <row r="53" spans="1:6" x14ac:dyDescent="0.3">
      <c r="A53" s="2">
        <v>659457</v>
      </c>
      <c r="B53" s="3">
        <v>41286</v>
      </c>
      <c r="C53" s="2" t="s">
        <v>6</v>
      </c>
      <c r="D53" s="2" t="s">
        <v>16</v>
      </c>
      <c r="E53" s="4">
        <v>40.26</v>
      </c>
      <c r="F53" s="4">
        <v>21.33</v>
      </c>
    </row>
    <row r="54" spans="1:6" x14ac:dyDescent="0.3">
      <c r="A54" s="2">
        <v>659455</v>
      </c>
      <c r="B54" s="3">
        <v>41285</v>
      </c>
      <c r="C54" s="2" t="s">
        <v>6</v>
      </c>
      <c r="D54" s="2" t="s">
        <v>16</v>
      </c>
      <c r="E54" s="4">
        <v>39.04</v>
      </c>
      <c r="F54" s="4">
        <v>19.52</v>
      </c>
    </row>
  </sheetData>
  <sheetProtection algorithmName="SHA-512" hashValue="/m+z8fAuK2J1NYIJRkKXUCvQRv/qncLWwXg2QXSAjTaS/VkI9ECQD45eFjw+CU4RBuM6mdi9DpZqhA2Gl5W2fA==" saltValue="j4bg3dEzG0AlL2fGx0e6Kw==" spinCount="100000" sheet="1" objects="1" scenarios="1" selectLockedCells="1" selectUnlockedCells="1"/>
  <sortState xmlns:xlrd2="http://schemas.microsoft.com/office/spreadsheetml/2017/richdata2" ref="A6:F52">
    <sortCondition descending="1" ref="E6"/>
  </sortState>
  <mergeCells count="1">
    <mergeCell ref="A2:G2"/>
  </mergeCells>
  <conditionalFormatting sqref="E8:E54">
    <cfRule type="expression" dxfId="14" priority="1">
      <formula>B8=$A$5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5F6EA-C3DC-453D-805B-953BE3212FC5}">
  <sheetPr>
    <tabColor rgb="FF0000FF"/>
  </sheetPr>
  <dimension ref="A1:F53"/>
  <sheetViews>
    <sheetView workbookViewId="0">
      <selection activeCell="M14" sqref="M14"/>
    </sheetView>
  </sheetViews>
  <sheetFormatPr defaultRowHeight="14.4" x14ac:dyDescent="0.3"/>
  <cols>
    <col min="1" max="1" width="15.21875" bestFit="1" customWidth="1"/>
    <col min="2" max="2" width="10.77734375" bestFit="1" customWidth="1"/>
    <col min="3" max="3" width="14.21875" customWidth="1"/>
    <col min="4" max="4" width="11.77734375" customWidth="1"/>
    <col min="5" max="5" width="10.77734375" customWidth="1"/>
    <col min="6" max="6" width="11.21875" customWidth="1"/>
  </cols>
  <sheetData>
    <row r="1" spans="1:6" x14ac:dyDescent="0.3">
      <c r="A1" t="s">
        <v>61</v>
      </c>
    </row>
    <row r="3" spans="1:6" x14ac:dyDescent="0.3">
      <c r="A3" s="17" t="s">
        <v>26</v>
      </c>
    </row>
    <row r="4" spans="1:6" x14ac:dyDescent="0.3">
      <c r="A4" s="2">
        <v>659440</v>
      </c>
    </row>
    <row r="6" spans="1:6" x14ac:dyDescent="0.3">
      <c r="A6" s="1" t="s">
        <v>26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6" x14ac:dyDescent="0.3">
      <c r="A7" s="2">
        <v>659439</v>
      </c>
      <c r="B7" s="3">
        <v>41275</v>
      </c>
      <c r="C7" s="2" t="s">
        <v>27</v>
      </c>
      <c r="D7" s="2" t="s">
        <v>5</v>
      </c>
      <c r="E7" s="4">
        <v>1232.44</v>
      </c>
      <c r="F7" s="4">
        <v>591.58000000000004</v>
      </c>
    </row>
    <row r="8" spans="1:6" x14ac:dyDescent="0.3">
      <c r="A8" s="2">
        <v>659440</v>
      </c>
      <c r="B8" s="3">
        <v>41276</v>
      </c>
      <c r="C8" s="2" t="s">
        <v>6</v>
      </c>
      <c r="D8" s="2" t="s">
        <v>7</v>
      </c>
      <c r="E8" s="4">
        <v>451.2</v>
      </c>
      <c r="F8" s="4">
        <v>212.08</v>
      </c>
    </row>
    <row r="9" spans="1:6" x14ac:dyDescent="0.3">
      <c r="A9" s="2">
        <v>659440</v>
      </c>
      <c r="B9" s="3">
        <v>41276</v>
      </c>
      <c r="C9" s="2" t="s">
        <v>27</v>
      </c>
      <c r="D9" s="2" t="s">
        <v>8</v>
      </c>
      <c r="E9" s="4">
        <v>357.5</v>
      </c>
      <c r="F9" s="4">
        <v>193.06</v>
      </c>
    </row>
    <row r="10" spans="1:6" x14ac:dyDescent="0.3">
      <c r="A10" s="2">
        <v>659440</v>
      </c>
      <c r="B10" s="3">
        <v>41276</v>
      </c>
      <c r="C10" s="2" t="s">
        <v>6</v>
      </c>
      <c r="D10" s="2" t="s">
        <v>9</v>
      </c>
      <c r="E10" s="4">
        <v>1957.6</v>
      </c>
      <c r="F10" s="4">
        <v>1037.55</v>
      </c>
    </row>
    <row r="11" spans="1:6" x14ac:dyDescent="0.3">
      <c r="A11" s="2">
        <v>659441</v>
      </c>
      <c r="B11" s="3">
        <v>41277</v>
      </c>
      <c r="C11" s="2" t="s">
        <v>27</v>
      </c>
      <c r="D11" s="2" t="s">
        <v>5</v>
      </c>
      <c r="E11" s="4">
        <v>561.67999999999995</v>
      </c>
      <c r="F11" s="4">
        <v>303.31</v>
      </c>
    </row>
    <row r="12" spans="1:6" x14ac:dyDescent="0.3">
      <c r="A12" s="2">
        <v>659441</v>
      </c>
      <c r="B12" s="3">
        <v>41277</v>
      </c>
      <c r="C12" s="2" t="s">
        <v>27</v>
      </c>
      <c r="D12" s="2" t="s">
        <v>8</v>
      </c>
      <c r="E12" s="4">
        <v>1980</v>
      </c>
      <c r="F12" s="4">
        <v>990</v>
      </c>
    </row>
    <row r="13" spans="1:6" x14ac:dyDescent="0.3">
      <c r="A13" s="2">
        <v>659442</v>
      </c>
      <c r="B13" s="3">
        <v>41278</v>
      </c>
      <c r="C13" s="2" t="s">
        <v>27</v>
      </c>
      <c r="D13" s="2" t="s">
        <v>5</v>
      </c>
      <c r="E13" s="4">
        <v>2772</v>
      </c>
      <c r="F13" s="4">
        <v>1469.16</v>
      </c>
    </row>
    <row r="14" spans="1:6" x14ac:dyDescent="0.3">
      <c r="A14" s="2">
        <v>659443</v>
      </c>
      <c r="B14" s="3">
        <v>41279</v>
      </c>
      <c r="C14" s="2" t="s">
        <v>27</v>
      </c>
      <c r="D14" s="2" t="s">
        <v>5</v>
      </c>
      <c r="E14" s="4">
        <v>4536</v>
      </c>
      <c r="F14" s="4">
        <v>2358.7199999999998</v>
      </c>
    </row>
    <row r="15" spans="1:6" x14ac:dyDescent="0.3">
      <c r="A15" s="2">
        <v>659443</v>
      </c>
      <c r="B15" s="3">
        <v>41279</v>
      </c>
      <c r="C15" s="2" t="s">
        <v>27</v>
      </c>
      <c r="D15" s="2" t="s">
        <v>10</v>
      </c>
      <c r="E15" s="4">
        <v>503.1</v>
      </c>
      <c r="F15" s="4">
        <v>251.56</v>
      </c>
    </row>
    <row r="16" spans="1:6" x14ac:dyDescent="0.3">
      <c r="A16" s="2">
        <v>659444</v>
      </c>
      <c r="B16" s="3">
        <v>41279</v>
      </c>
      <c r="C16" s="2" t="s">
        <v>6</v>
      </c>
      <c r="D16" s="2" t="s">
        <v>9</v>
      </c>
      <c r="E16" s="4">
        <v>3938.4</v>
      </c>
      <c r="F16" s="4">
        <v>1890.4</v>
      </c>
    </row>
    <row r="17" spans="1:6" x14ac:dyDescent="0.3">
      <c r="A17" s="2">
        <v>659444</v>
      </c>
      <c r="B17" s="3">
        <v>41279</v>
      </c>
      <c r="C17" s="2" t="s">
        <v>27</v>
      </c>
      <c r="D17" s="2" t="s">
        <v>10</v>
      </c>
      <c r="E17" s="4">
        <v>464.96</v>
      </c>
      <c r="F17" s="4">
        <v>237.12</v>
      </c>
    </row>
    <row r="18" spans="1:6" x14ac:dyDescent="0.3">
      <c r="A18" s="2">
        <v>659445</v>
      </c>
      <c r="B18" s="3">
        <v>41279</v>
      </c>
      <c r="C18" s="2" t="s">
        <v>27</v>
      </c>
      <c r="D18" s="2" t="s">
        <v>8</v>
      </c>
      <c r="E18" s="4">
        <v>1650</v>
      </c>
      <c r="F18" s="4">
        <v>792</v>
      </c>
    </row>
    <row r="19" spans="1:6" x14ac:dyDescent="0.3">
      <c r="A19" s="2">
        <v>659445</v>
      </c>
      <c r="B19" s="3">
        <v>41279</v>
      </c>
      <c r="C19" s="2" t="s">
        <v>28</v>
      </c>
      <c r="D19" s="2" t="s">
        <v>11</v>
      </c>
      <c r="E19" s="4">
        <v>114</v>
      </c>
      <c r="F19" s="4">
        <v>55.86</v>
      </c>
    </row>
    <row r="20" spans="1:6" x14ac:dyDescent="0.3">
      <c r="A20" s="2">
        <v>659446</v>
      </c>
      <c r="B20" s="3">
        <v>41279</v>
      </c>
      <c r="C20" s="2" t="s">
        <v>28</v>
      </c>
      <c r="D20" s="2" t="s">
        <v>12</v>
      </c>
      <c r="E20" s="4">
        <v>1008.72</v>
      </c>
      <c r="F20" s="4">
        <v>504.36</v>
      </c>
    </row>
    <row r="21" spans="1:6" x14ac:dyDescent="0.3">
      <c r="A21" s="2">
        <v>659446</v>
      </c>
      <c r="B21" s="3">
        <v>41279</v>
      </c>
      <c r="C21" s="2" t="s">
        <v>28</v>
      </c>
      <c r="D21" s="2" t="s">
        <v>11</v>
      </c>
      <c r="E21" s="4">
        <v>730.2</v>
      </c>
      <c r="F21" s="4">
        <v>365.1</v>
      </c>
    </row>
    <row r="22" spans="1:6" x14ac:dyDescent="0.3">
      <c r="A22" s="2">
        <v>659446</v>
      </c>
      <c r="B22" s="3">
        <v>41279</v>
      </c>
      <c r="C22" s="2" t="s">
        <v>27</v>
      </c>
      <c r="D22" s="2" t="s">
        <v>13</v>
      </c>
      <c r="E22" s="4">
        <v>3174</v>
      </c>
      <c r="F22" s="4">
        <v>1713.96</v>
      </c>
    </row>
    <row r="23" spans="1:6" x14ac:dyDescent="0.3">
      <c r="A23" s="2">
        <v>659446</v>
      </c>
      <c r="B23" s="3">
        <v>41279</v>
      </c>
      <c r="C23" s="2" t="s">
        <v>27</v>
      </c>
      <c r="D23" s="2" t="s">
        <v>5</v>
      </c>
      <c r="E23" s="4">
        <v>2304</v>
      </c>
      <c r="F23" s="4">
        <v>1082.8800000000001</v>
      </c>
    </row>
    <row r="24" spans="1:6" x14ac:dyDescent="0.3">
      <c r="A24" s="2">
        <v>659446</v>
      </c>
      <c r="B24" s="3">
        <v>41279</v>
      </c>
      <c r="C24" s="2" t="s">
        <v>27</v>
      </c>
      <c r="D24" s="2" t="s">
        <v>5</v>
      </c>
      <c r="E24" s="4">
        <v>2744.98</v>
      </c>
      <c r="F24" s="4">
        <v>1317.61</v>
      </c>
    </row>
    <row r="25" spans="1:6" x14ac:dyDescent="0.3">
      <c r="A25" s="2">
        <v>659446</v>
      </c>
      <c r="B25" s="3">
        <v>41279</v>
      </c>
      <c r="C25" s="2" t="s">
        <v>27</v>
      </c>
      <c r="D25" s="2" t="s">
        <v>5</v>
      </c>
      <c r="E25" s="4">
        <v>3361.2</v>
      </c>
      <c r="F25" s="4">
        <v>1579.75</v>
      </c>
    </row>
    <row r="26" spans="1:6" x14ac:dyDescent="0.3">
      <c r="A26" s="2">
        <v>659447</v>
      </c>
      <c r="B26" s="3">
        <v>41279</v>
      </c>
      <c r="C26" s="2" t="s">
        <v>28</v>
      </c>
      <c r="D26" s="2" t="s">
        <v>14</v>
      </c>
      <c r="E26" s="4">
        <v>48.48</v>
      </c>
      <c r="F26" s="4">
        <v>25.2</v>
      </c>
    </row>
    <row r="27" spans="1:6" x14ac:dyDescent="0.3">
      <c r="A27" s="2">
        <v>659447</v>
      </c>
      <c r="B27" s="3">
        <v>41279</v>
      </c>
      <c r="C27" s="2" t="s">
        <v>28</v>
      </c>
      <c r="D27" s="2" t="s">
        <v>15</v>
      </c>
      <c r="E27" s="4">
        <v>1664</v>
      </c>
      <c r="F27" s="4">
        <v>881.92</v>
      </c>
    </row>
    <row r="28" spans="1:6" x14ac:dyDescent="0.3">
      <c r="A28" s="2">
        <v>659448</v>
      </c>
      <c r="B28" s="3">
        <v>41280</v>
      </c>
      <c r="C28" s="2" t="s">
        <v>28</v>
      </c>
      <c r="D28" s="2" t="s">
        <v>11</v>
      </c>
      <c r="E28" s="4">
        <v>670.4</v>
      </c>
      <c r="F28" s="4">
        <v>355.28</v>
      </c>
    </row>
    <row r="29" spans="1:6" x14ac:dyDescent="0.3">
      <c r="A29" s="2">
        <v>659449</v>
      </c>
      <c r="B29" s="3">
        <v>41281</v>
      </c>
      <c r="C29" s="2" t="s">
        <v>27</v>
      </c>
      <c r="D29" s="2" t="s">
        <v>13</v>
      </c>
      <c r="E29" s="4">
        <v>611.41999999999996</v>
      </c>
      <c r="F29" s="4">
        <v>324.06</v>
      </c>
    </row>
    <row r="30" spans="1:6" x14ac:dyDescent="0.3">
      <c r="A30" s="2">
        <v>659450</v>
      </c>
      <c r="B30" s="3">
        <v>41282</v>
      </c>
      <c r="C30" s="2" t="s">
        <v>27</v>
      </c>
      <c r="D30" s="2" t="s">
        <v>5</v>
      </c>
      <c r="E30" s="4">
        <v>962.88</v>
      </c>
      <c r="F30" s="4">
        <v>510.32</v>
      </c>
    </row>
    <row r="31" spans="1:6" x14ac:dyDescent="0.3">
      <c r="A31" s="2">
        <v>659451</v>
      </c>
      <c r="B31" s="3">
        <v>41283</v>
      </c>
      <c r="C31" s="2" t="s">
        <v>6</v>
      </c>
      <c r="D31" s="2" t="s">
        <v>7</v>
      </c>
      <c r="E31" s="4">
        <v>203.04</v>
      </c>
      <c r="F31" s="4">
        <v>95.4</v>
      </c>
    </row>
    <row r="32" spans="1:6" x14ac:dyDescent="0.3">
      <c r="A32" s="2">
        <v>659451</v>
      </c>
      <c r="B32" s="3">
        <v>41283</v>
      </c>
      <c r="C32" s="2" t="s">
        <v>6</v>
      </c>
      <c r="D32" s="2" t="s">
        <v>16</v>
      </c>
      <c r="E32" s="4">
        <v>256.2</v>
      </c>
      <c r="F32" s="4">
        <v>140.9</v>
      </c>
    </row>
    <row r="33" spans="1:6" x14ac:dyDescent="0.3">
      <c r="A33" s="2">
        <v>659452</v>
      </c>
      <c r="B33" s="3">
        <v>41284</v>
      </c>
      <c r="C33" s="2" t="s">
        <v>28</v>
      </c>
      <c r="D33" s="2" t="s">
        <v>14</v>
      </c>
      <c r="E33" s="4">
        <v>1360</v>
      </c>
      <c r="F33" s="4">
        <v>639.20000000000005</v>
      </c>
    </row>
    <row r="34" spans="1:6" x14ac:dyDescent="0.3">
      <c r="A34" s="2">
        <v>659453</v>
      </c>
      <c r="B34" s="3">
        <v>41284</v>
      </c>
      <c r="C34" s="2" t="s">
        <v>6</v>
      </c>
      <c r="D34" s="2" t="s">
        <v>17</v>
      </c>
      <c r="E34" s="4">
        <v>4309.2</v>
      </c>
      <c r="F34" s="4">
        <v>2326.9499999999998</v>
      </c>
    </row>
    <row r="35" spans="1:6" x14ac:dyDescent="0.3">
      <c r="A35" s="2">
        <v>659453</v>
      </c>
      <c r="B35" s="3">
        <v>41284</v>
      </c>
      <c r="C35" s="2" t="s">
        <v>6</v>
      </c>
      <c r="D35" s="2" t="s">
        <v>7</v>
      </c>
      <c r="E35" s="4">
        <v>241.28</v>
      </c>
      <c r="F35" s="4">
        <v>132.72</v>
      </c>
    </row>
    <row r="36" spans="1:6" x14ac:dyDescent="0.3">
      <c r="A36" s="2">
        <v>659454</v>
      </c>
      <c r="B36" s="3">
        <v>41285</v>
      </c>
      <c r="C36" s="2" t="s">
        <v>28</v>
      </c>
      <c r="D36" s="2" t="s">
        <v>12</v>
      </c>
      <c r="E36" s="4">
        <v>1672</v>
      </c>
      <c r="F36" s="4">
        <v>819.28</v>
      </c>
    </row>
    <row r="37" spans="1:6" x14ac:dyDescent="0.3">
      <c r="A37" s="2">
        <v>659455</v>
      </c>
      <c r="B37" s="3">
        <v>41285</v>
      </c>
      <c r="C37" s="2" t="s">
        <v>27</v>
      </c>
      <c r="D37" s="2" t="s">
        <v>10</v>
      </c>
      <c r="E37" s="4">
        <v>2631.6</v>
      </c>
      <c r="F37" s="4">
        <v>1421.04</v>
      </c>
    </row>
    <row r="38" spans="1:6" x14ac:dyDescent="0.3">
      <c r="A38" s="2">
        <v>659455</v>
      </c>
      <c r="B38" s="3">
        <v>41285</v>
      </c>
      <c r="C38" s="2" t="s">
        <v>28</v>
      </c>
      <c r="D38" s="2" t="s">
        <v>11</v>
      </c>
      <c r="E38" s="4">
        <v>368.72</v>
      </c>
      <c r="F38" s="4">
        <v>188.04</v>
      </c>
    </row>
    <row r="39" spans="1:6" x14ac:dyDescent="0.3">
      <c r="A39" s="2">
        <v>659455</v>
      </c>
      <c r="B39" s="3">
        <v>41285</v>
      </c>
      <c r="C39" s="2" t="s">
        <v>28</v>
      </c>
      <c r="D39" s="2" t="s">
        <v>14</v>
      </c>
      <c r="E39" s="4">
        <v>1632</v>
      </c>
      <c r="F39" s="4">
        <v>767.04</v>
      </c>
    </row>
    <row r="40" spans="1:6" x14ac:dyDescent="0.3">
      <c r="A40" s="2">
        <v>659455</v>
      </c>
      <c r="B40" s="3">
        <v>41285</v>
      </c>
      <c r="C40" s="2" t="s">
        <v>28</v>
      </c>
      <c r="D40" s="2" t="s">
        <v>11</v>
      </c>
      <c r="E40" s="4">
        <v>670.4</v>
      </c>
      <c r="F40" s="4">
        <v>341.92</v>
      </c>
    </row>
    <row r="41" spans="1:6" x14ac:dyDescent="0.3">
      <c r="A41" s="2">
        <v>659455</v>
      </c>
      <c r="B41" s="3">
        <v>41285</v>
      </c>
      <c r="C41" s="2" t="s">
        <v>6</v>
      </c>
      <c r="D41" s="2" t="s">
        <v>16</v>
      </c>
      <c r="E41" s="4">
        <v>39.04</v>
      </c>
      <c r="F41" s="4">
        <v>19.52</v>
      </c>
    </row>
    <row r="42" spans="1:6" x14ac:dyDescent="0.3">
      <c r="A42" s="2">
        <v>659455</v>
      </c>
      <c r="B42" s="3">
        <v>41285</v>
      </c>
      <c r="C42" s="2" t="s">
        <v>6</v>
      </c>
      <c r="D42" s="2" t="s">
        <v>7</v>
      </c>
      <c r="E42" s="4">
        <v>394.8</v>
      </c>
      <c r="F42" s="4">
        <v>197.4</v>
      </c>
    </row>
    <row r="43" spans="1:6" x14ac:dyDescent="0.3">
      <c r="A43" s="2">
        <v>659455</v>
      </c>
      <c r="B43" s="3">
        <v>41285</v>
      </c>
      <c r="C43" s="2" t="s">
        <v>28</v>
      </c>
      <c r="D43" s="2" t="s">
        <v>11</v>
      </c>
      <c r="E43" s="4">
        <v>219.06</v>
      </c>
      <c r="F43" s="4">
        <v>118.3</v>
      </c>
    </row>
    <row r="44" spans="1:6" x14ac:dyDescent="0.3">
      <c r="A44" s="2">
        <v>659455</v>
      </c>
      <c r="B44" s="3">
        <v>41285</v>
      </c>
      <c r="C44" s="2" t="s">
        <v>27</v>
      </c>
      <c r="D44" s="2" t="s">
        <v>5</v>
      </c>
      <c r="E44" s="4">
        <v>200.6</v>
      </c>
      <c r="F44" s="4">
        <v>106.32</v>
      </c>
    </row>
    <row r="45" spans="1:6" x14ac:dyDescent="0.3">
      <c r="A45" s="2">
        <v>659456</v>
      </c>
      <c r="B45" s="3">
        <v>41286</v>
      </c>
      <c r="C45" s="2" t="s">
        <v>27</v>
      </c>
      <c r="D45" s="2" t="s">
        <v>13</v>
      </c>
      <c r="E45" s="4">
        <v>1150</v>
      </c>
      <c r="F45" s="4">
        <v>552</v>
      </c>
    </row>
    <row r="46" spans="1:6" x14ac:dyDescent="0.3">
      <c r="A46" s="2">
        <v>659456</v>
      </c>
      <c r="B46" s="3">
        <v>41286</v>
      </c>
      <c r="C46" s="2" t="s">
        <v>28</v>
      </c>
      <c r="D46" s="2" t="s">
        <v>12</v>
      </c>
      <c r="E46" s="4">
        <v>495</v>
      </c>
      <c r="F46" s="4">
        <v>237.6</v>
      </c>
    </row>
    <row r="47" spans="1:6" x14ac:dyDescent="0.3">
      <c r="A47" s="2">
        <v>659456</v>
      </c>
      <c r="B47" s="3">
        <v>41286</v>
      </c>
      <c r="C47" s="2" t="s">
        <v>6</v>
      </c>
      <c r="D47" s="2" t="s">
        <v>16</v>
      </c>
      <c r="E47" s="4">
        <v>51.24</v>
      </c>
      <c r="F47" s="4">
        <v>27.16</v>
      </c>
    </row>
    <row r="48" spans="1:6" x14ac:dyDescent="0.3">
      <c r="A48" s="2">
        <v>659457</v>
      </c>
      <c r="B48" s="3">
        <v>41286</v>
      </c>
      <c r="C48" s="2" t="s">
        <v>6</v>
      </c>
      <c r="D48" s="2" t="s">
        <v>16</v>
      </c>
      <c r="E48" s="4">
        <v>40.26</v>
      </c>
      <c r="F48" s="4">
        <v>21.33</v>
      </c>
    </row>
    <row r="49" spans="1:6" x14ac:dyDescent="0.3">
      <c r="A49" s="2">
        <v>659457</v>
      </c>
      <c r="B49" s="3">
        <v>41286</v>
      </c>
      <c r="C49" s="2" t="s">
        <v>28</v>
      </c>
      <c r="D49" s="2" t="s">
        <v>14</v>
      </c>
      <c r="E49" s="4">
        <v>60.6</v>
      </c>
      <c r="F49" s="4">
        <v>28.5</v>
      </c>
    </row>
    <row r="50" spans="1:6" x14ac:dyDescent="0.3">
      <c r="A50" s="2">
        <v>659457</v>
      </c>
      <c r="B50" s="3">
        <v>41286</v>
      </c>
      <c r="C50" s="2" t="s">
        <v>28</v>
      </c>
      <c r="D50" s="2" t="s">
        <v>11</v>
      </c>
      <c r="E50" s="4">
        <v>2394</v>
      </c>
      <c r="F50" s="4">
        <v>1292.76</v>
      </c>
    </row>
    <row r="51" spans="1:6" x14ac:dyDescent="0.3">
      <c r="A51" s="2">
        <v>659458</v>
      </c>
      <c r="B51" s="3">
        <v>41287</v>
      </c>
      <c r="C51" s="2" t="s">
        <v>6</v>
      </c>
      <c r="D51" s="2" t="s">
        <v>16</v>
      </c>
      <c r="E51" s="4">
        <v>207.36</v>
      </c>
      <c r="F51" s="4">
        <v>107.82</v>
      </c>
    </row>
    <row r="52" spans="1:6" x14ac:dyDescent="0.3">
      <c r="A52" s="2">
        <v>659458</v>
      </c>
      <c r="B52" s="3">
        <v>41287</v>
      </c>
      <c r="C52" s="2" t="s">
        <v>6</v>
      </c>
      <c r="D52" s="2" t="s">
        <v>17</v>
      </c>
      <c r="E52" s="4">
        <v>1316.7</v>
      </c>
      <c r="F52" s="4">
        <v>618.84</v>
      </c>
    </row>
    <row r="53" spans="1:6" x14ac:dyDescent="0.3">
      <c r="A53" s="2">
        <v>659459</v>
      </c>
      <c r="B53" s="3">
        <v>41288</v>
      </c>
      <c r="C53" s="2" t="s">
        <v>6</v>
      </c>
      <c r="D53" s="2" t="s">
        <v>16</v>
      </c>
      <c r="E53" s="4">
        <v>183</v>
      </c>
      <c r="F53" s="4">
        <v>95.2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F53"/>
  <sheetViews>
    <sheetView zoomScale="145" zoomScaleNormal="145" workbookViewId="0">
      <selection activeCell="H9" sqref="A1:XFD1048576"/>
    </sheetView>
  </sheetViews>
  <sheetFormatPr defaultRowHeight="14.4" x14ac:dyDescent="0.3"/>
  <cols>
    <col min="1" max="1" width="15.21875" bestFit="1" customWidth="1"/>
    <col min="2" max="2" width="10.77734375" bestFit="1" customWidth="1"/>
    <col min="3" max="3" width="14.21875" customWidth="1"/>
    <col min="4" max="4" width="11.77734375" customWidth="1"/>
    <col min="5" max="5" width="10.77734375" customWidth="1"/>
    <col min="6" max="6" width="11.21875" customWidth="1"/>
  </cols>
  <sheetData>
    <row r="1" spans="1:6" x14ac:dyDescent="0.3">
      <c r="A1" t="s">
        <v>61</v>
      </c>
    </row>
    <row r="3" spans="1:6" x14ac:dyDescent="0.3">
      <c r="A3" s="17" t="s">
        <v>26</v>
      </c>
    </row>
    <row r="4" spans="1:6" x14ac:dyDescent="0.3">
      <c r="A4" s="2">
        <v>659440</v>
      </c>
    </row>
    <row r="6" spans="1:6" x14ac:dyDescent="0.3">
      <c r="A6" s="1" t="s">
        <v>26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6" x14ac:dyDescent="0.3">
      <c r="A7" s="2">
        <v>659439</v>
      </c>
      <c r="B7" s="3">
        <v>41275</v>
      </c>
      <c r="C7" s="2" t="s">
        <v>27</v>
      </c>
      <c r="D7" s="2" t="s">
        <v>5</v>
      </c>
      <c r="E7" s="4">
        <v>1232.44</v>
      </c>
      <c r="F7" s="4">
        <v>591.58000000000004</v>
      </c>
    </row>
    <row r="8" spans="1:6" x14ac:dyDescent="0.3">
      <c r="A8" s="2">
        <v>659440</v>
      </c>
      <c r="B8" s="3">
        <v>41276</v>
      </c>
      <c r="C8" s="2" t="s">
        <v>6</v>
      </c>
      <c r="D8" s="2" t="s">
        <v>7</v>
      </c>
      <c r="E8" s="4">
        <v>451.2</v>
      </c>
      <c r="F8" s="4">
        <v>212.08</v>
      </c>
    </row>
    <row r="9" spans="1:6" x14ac:dyDescent="0.3">
      <c r="A9" s="2">
        <v>659440</v>
      </c>
      <c r="B9" s="3">
        <v>41276</v>
      </c>
      <c r="C9" s="2" t="s">
        <v>27</v>
      </c>
      <c r="D9" s="2" t="s">
        <v>8</v>
      </c>
      <c r="E9" s="4">
        <v>357.5</v>
      </c>
      <c r="F9" s="4">
        <v>193.06</v>
      </c>
    </row>
    <row r="10" spans="1:6" x14ac:dyDescent="0.3">
      <c r="A10" s="2">
        <v>659440</v>
      </c>
      <c r="B10" s="3">
        <v>41276</v>
      </c>
      <c r="C10" s="2" t="s">
        <v>6</v>
      </c>
      <c r="D10" s="2" t="s">
        <v>9</v>
      </c>
      <c r="E10" s="4">
        <v>1957.6</v>
      </c>
      <c r="F10" s="4">
        <v>1037.55</v>
      </c>
    </row>
    <row r="11" spans="1:6" x14ac:dyDescent="0.3">
      <c r="A11" s="2">
        <v>659441</v>
      </c>
      <c r="B11" s="3">
        <v>41277</v>
      </c>
      <c r="C11" s="2" t="s">
        <v>27</v>
      </c>
      <c r="D11" s="2" t="s">
        <v>5</v>
      </c>
      <c r="E11" s="4">
        <v>561.67999999999995</v>
      </c>
      <c r="F11" s="4">
        <v>303.31</v>
      </c>
    </row>
    <row r="12" spans="1:6" x14ac:dyDescent="0.3">
      <c r="A12" s="2">
        <v>659441</v>
      </c>
      <c r="B12" s="3">
        <v>41277</v>
      </c>
      <c r="C12" s="2" t="s">
        <v>27</v>
      </c>
      <c r="D12" s="2" t="s">
        <v>8</v>
      </c>
      <c r="E12" s="4">
        <v>1980</v>
      </c>
      <c r="F12" s="4">
        <v>990</v>
      </c>
    </row>
    <row r="13" spans="1:6" x14ac:dyDescent="0.3">
      <c r="A13" s="2">
        <v>659442</v>
      </c>
      <c r="B13" s="3">
        <v>41278</v>
      </c>
      <c r="C13" s="2" t="s">
        <v>27</v>
      </c>
      <c r="D13" s="2" t="s">
        <v>5</v>
      </c>
      <c r="E13" s="4">
        <v>2772</v>
      </c>
      <c r="F13" s="4">
        <v>1469.16</v>
      </c>
    </row>
    <row r="14" spans="1:6" x14ac:dyDescent="0.3">
      <c r="A14" s="2">
        <v>659443</v>
      </c>
      <c r="B14" s="3">
        <v>41279</v>
      </c>
      <c r="C14" s="2" t="s">
        <v>27</v>
      </c>
      <c r="D14" s="2" t="s">
        <v>5</v>
      </c>
      <c r="E14" s="4">
        <v>4536</v>
      </c>
      <c r="F14" s="4">
        <v>2358.7199999999998</v>
      </c>
    </row>
    <row r="15" spans="1:6" x14ac:dyDescent="0.3">
      <c r="A15" s="2">
        <v>659443</v>
      </c>
      <c r="B15" s="3">
        <v>41279</v>
      </c>
      <c r="C15" s="2" t="s">
        <v>27</v>
      </c>
      <c r="D15" s="2" t="s">
        <v>10</v>
      </c>
      <c r="E15" s="4">
        <v>503.1</v>
      </c>
      <c r="F15" s="4">
        <v>251.56</v>
      </c>
    </row>
    <row r="16" spans="1:6" x14ac:dyDescent="0.3">
      <c r="A16" s="2">
        <v>659444</v>
      </c>
      <c r="B16" s="3">
        <v>41279</v>
      </c>
      <c r="C16" s="2" t="s">
        <v>6</v>
      </c>
      <c r="D16" s="2" t="s">
        <v>9</v>
      </c>
      <c r="E16" s="4">
        <v>3938.4</v>
      </c>
      <c r="F16" s="4">
        <v>1890.4</v>
      </c>
    </row>
    <row r="17" spans="1:6" x14ac:dyDescent="0.3">
      <c r="A17" s="2">
        <v>659444</v>
      </c>
      <c r="B17" s="3">
        <v>41279</v>
      </c>
      <c r="C17" s="2" t="s">
        <v>27</v>
      </c>
      <c r="D17" s="2" t="s">
        <v>10</v>
      </c>
      <c r="E17" s="4">
        <v>464.96</v>
      </c>
      <c r="F17" s="4">
        <v>237.12</v>
      </c>
    </row>
    <row r="18" spans="1:6" x14ac:dyDescent="0.3">
      <c r="A18" s="2">
        <v>659445</v>
      </c>
      <c r="B18" s="3">
        <v>41279</v>
      </c>
      <c r="C18" s="2" t="s">
        <v>27</v>
      </c>
      <c r="D18" s="2" t="s">
        <v>8</v>
      </c>
      <c r="E18" s="4">
        <v>1650</v>
      </c>
      <c r="F18" s="4">
        <v>792</v>
      </c>
    </row>
    <row r="19" spans="1:6" x14ac:dyDescent="0.3">
      <c r="A19" s="2">
        <v>659445</v>
      </c>
      <c r="B19" s="3">
        <v>41279</v>
      </c>
      <c r="C19" s="2" t="s">
        <v>28</v>
      </c>
      <c r="D19" s="2" t="s">
        <v>11</v>
      </c>
      <c r="E19" s="4">
        <v>114</v>
      </c>
      <c r="F19" s="4">
        <v>55.86</v>
      </c>
    </row>
    <row r="20" spans="1:6" x14ac:dyDescent="0.3">
      <c r="A20" s="2">
        <v>659446</v>
      </c>
      <c r="B20" s="3">
        <v>41279</v>
      </c>
      <c r="C20" s="2" t="s">
        <v>28</v>
      </c>
      <c r="D20" s="2" t="s">
        <v>12</v>
      </c>
      <c r="E20" s="4">
        <v>1008.72</v>
      </c>
      <c r="F20" s="4">
        <v>504.36</v>
      </c>
    </row>
    <row r="21" spans="1:6" x14ac:dyDescent="0.3">
      <c r="A21" s="2">
        <v>659446</v>
      </c>
      <c r="B21" s="3">
        <v>41279</v>
      </c>
      <c r="C21" s="2" t="s">
        <v>28</v>
      </c>
      <c r="D21" s="2" t="s">
        <v>11</v>
      </c>
      <c r="E21" s="4">
        <v>730.2</v>
      </c>
      <c r="F21" s="4">
        <v>365.1</v>
      </c>
    </row>
    <row r="22" spans="1:6" x14ac:dyDescent="0.3">
      <c r="A22" s="2">
        <v>659446</v>
      </c>
      <c r="B22" s="3">
        <v>41279</v>
      </c>
      <c r="C22" s="2" t="s">
        <v>27</v>
      </c>
      <c r="D22" s="2" t="s">
        <v>13</v>
      </c>
      <c r="E22" s="4">
        <v>3174</v>
      </c>
      <c r="F22" s="4">
        <v>1713.96</v>
      </c>
    </row>
    <row r="23" spans="1:6" x14ac:dyDescent="0.3">
      <c r="A23" s="2">
        <v>659446</v>
      </c>
      <c r="B23" s="3">
        <v>41279</v>
      </c>
      <c r="C23" s="2" t="s">
        <v>27</v>
      </c>
      <c r="D23" s="2" t="s">
        <v>5</v>
      </c>
      <c r="E23" s="4">
        <v>2304</v>
      </c>
      <c r="F23" s="4">
        <v>1082.8800000000001</v>
      </c>
    </row>
    <row r="24" spans="1:6" x14ac:dyDescent="0.3">
      <c r="A24" s="2">
        <v>659446</v>
      </c>
      <c r="B24" s="3">
        <v>41279</v>
      </c>
      <c r="C24" s="2" t="s">
        <v>27</v>
      </c>
      <c r="D24" s="2" t="s">
        <v>5</v>
      </c>
      <c r="E24" s="4">
        <v>2744.98</v>
      </c>
      <c r="F24" s="4">
        <v>1317.61</v>
      </c>
    </row>
    <row r="25" spans="1:6" x14ac:dyDescent="0.3">
      <c r="A25" s="2">
        <v>659446</v>
      </c>
      <c r="B25" s="3">
        <v>41279</v>
      </c>
      <c r="C25" s="2" t="s">
        <v>27</v>
      </c>
      <c r="D25" s="2" t="s">
        <v>5</v>
      </c>
      <c r="E25" s="4">
        <v>3361.2</v>
      </c>
      <c r="F25" s="4">
        <v>1579.75</v>
      </c>
    </row>
    <row r="26" spans="1:6" x14ac:dyDescent="0.3">
      <c r="A26" s="2">
        <v>659447</v>
      </c>
      <c r="B26" s="3">
        <v>41279</v>
      </c>
      <c r="C26" s="2" t="s">
        <v>28</v>
      </c>
      <c r="D26" s="2" t="s">
        <v>14</v>
      </c>
      <c r="E26" s="4">
        <v>48.48</v>
      </c>
      <c r="F26" s="4">
        <v>25.2</v>
      </c>
    </row>
    <row r="27" spans="1:6" x14ac:dyDescent="0.3">
      <c r="A27" s="2">
        <v>659447</v>
      </c>
      <c r="B27" s="3">
        <v>41279</v>
      </c>
      <c r="C27" s="2" t="s">
        <v>28</v>
      </c>
      <c r="D27" s="2" t="s">
        <v>15</v>
      </c>
      <c r="E27" s="4">
        <v>1664</v>
      </c>
      <c r="F27" s="4">
        <v>881.92</v>
      </c>
    </row>
    <row r="28" spans="1:6" x14ac:dyDescent="0.3">
      <c r="A28" s="2">
        <v>659448</v>
      </c>
      <c r="B28" s="3">
        <v>41280</v>
      </c>
      <c r="C28" s="2" t="s">
        <v>28</v>
      </c>
      <c r="D28" s="2" t="s">
        <v>11</v>
      </c>
      <c r="E28" s="4">
        <v>670.4</v>
      </c>
      <c r="F28" s="4">
        <v>355.28</v>
      </c>
    </row>
    <row r="29" spans="1:6" x14ac:dyDescent="0.3">
      <c r="A29" s="2">
        <v>659449</v>
      </c>
      <c r="B29" s="3">
        <v>41281</v>
      </c>
      <c r="C29" s="2" t="s">
        <v>27</v>
      </c>
      <c r="D29" s="2" t="s">
        <v>13</v>
      </c>
      <c r="E29" s="4">
        <v>611.41999999999996</v>
      </c>
      <c r="F29" s="4">
        <v>324.06</v>
      </c>
    </row>
    <row r="30" spans="1:6" x14ac:dyDescent="0.3">
      <c r="A30" s="2">
        <v>659450</v>
      </c>
      <c r="B30" s="3">
        <v>41282</v>
      </c>
      <c r="C30" s="2" t="s">
        <v>27</v>
      </c>
      <c r="D30" s="2" t="s">
        <v>5</v>
      </c>
      <c r="E30" s="4">
        <v>962.88</v>
      </c>
      <c r="F30" s="4">
        <v>510.32</v>
      </c>
    </row>
    <row r="31" spans="1:6" x14ac:dyDescent="0.3">
      <c r="A31" s="2">
        <v>659451</v>
      </c>
      <c r="B31" s="3">
        <v>41283</v>
      </c>
      <c r="C31" s="2" t="s">
        <v>6</v>
      </c>
      <c r="D31" s="2" t="s">
        <v>7</v>
      </c>
      <c r="E31" s="4">
        <v>203.04</v>
      </c>
      <c r="F31" s="4">
        <v>95.4</v>
      </c>
    </row>
    <row r="32" spans="1:6" x14ac:dyDescent="0.3">
      <c r="A32" s="2">
        <v>659451</v>
      </c>
      <c r="B32" s="3">
        <v>41283</v>
      </c>
      <c r="C32" s="2" t="s">
        <v>6</v>
      </c>
      <c r="D32" s="2" t="s">
        <v>16</v>
      </c>
      <c r="E32" s="4">
        <v>256.2</v>
      </c>
      <c r="F32" s="4">
        <v>140.9</v>
      </c>
    </row>
    <row r="33" spans="1:6" x14ac:dyDescent="0.3">
      <c r="A33" s="2">
        <v>659452</v>
      </c>
      <c r="B33" s="3">
        <v>41284</v>
      </c>
      <c r="C33" s="2" t="s">
        <v>28</v>
      </c>
      <c r="D33" s="2" t="s">
        <v>14</v>
      </c>
      <c r="E33" s="4">
        <v>1360</v>
      </c>
      <c r="F33" s="4">
        <v>639.20000000000005</v>
      </c>
    </row>
    <row r="34" spans="1:6" x14ac:dyDescent="0.3">
      <c r="A34" s="2">
        <v>659453</v>
      </c>
      <c r="B34" s="3">
        <v>41284</v>
      </c>
      <c r="C34" s="2" t="s">
        <v>6</v>
      </c>
      <c r="D34" s="2" t="s">
        <v>17</v>
      </c>
      <c r="E34" s="4">
        <v>4309.2</v>
      </c>
      <c r="F34" s="4">
        <v>2326.9499999999998</v>
      </c>
    </row>
    <row r="35" spans="1:6" x14ac:dyDescent="0.3">
      <c r="A35" s="2">
        <v>659453</v>
      </c>
      <c r="B35" s="3">
        <v>41284</v>
      </c>
      <c r="C35" s="2" t="s">
        <v>6</v>
      </c>
      <c r="D35" s="2" t="s">
        <v>7</v>
      </c>
      <c r="E35" s="4">
        <v>241.28</v>
      </c>
      <c r="F35" s="4">
        <v>132.72</v>
      </c>
    </row>
    <row r="36" spans="1:6" x14ac:dyDescent="0.3">
      <c r="A36" s="2">
        <v>659454</v>
      </c>
      <c r="B36" s="3">
        <v>41285</v>
      </c>
      <c r="C36" s="2" t="s">
        <v>28</v>
      </c>
      <c r="D36" s="2" t="s">
        <v>12</v>
      </c>
      <c r="E36" s="4">
        <v>1672</v>
      </c>
      <c r="F36" s="4">
        <v>819.28</v>
      </c>
    </row>
    <row r="37" spans="1:6" x14ac:dyDescent="0.3">
      <c r="A37" s="2">
        <v>659455</v>
      </c>
      <c r="B37" s="3">
        <v>41285</v>
      </c>
      <c r="C37" s="2" t="s">
        <v>27</v>
      </c>
      <c r="D37" s="2" t="s">
        <v>10</v>
      </c>
      <c r="E37" s="4">
        <v>2631.6</v>
      </c>
      <c r="F37" s="4">
        <v>1421.04</v>
      </c>
    </row>
    <row r="38" spans="1:6" x14ac:dyDescent="0.3">
      <c r="A38" s="2">
        <v>659455</v>
      </c>
      <c r="B38" s="3">
        <v>41285</v>
      </c>
      <c r="C38" s="2" t="s">
        <v>28</v>
      </c>
      <c r="D38" s="2" t="s">
        <v>11</v>
      </c>
      <c r="E38" s="4">
        <v>368.72</v>
      </c>
      <c r="F38" s="4">
        <v>188.04</v>
      </c>
    </row>
    <row r="39" spans="1:6" x14ac:dyDescent="0.3">
      <c r="A39" s="2">
        <v>659455</v>
      </c>
      <c r="B39" s="3">
        <v>41285</v>
      </c>
      <c r="C39" s="2" t="s">
        <v>28</v>
      </c>
      <c r="D39" s="2" t="s">
        <v>14</v>
      </c>
      <c r="E39" s="4">
        <v>1632</v>
      </c>
      <c r="F39" s="4">
        <v>767.04</v>
      </c>
    </row>
    <row r="40" spans="1:6" x14ac:dyDescent="0.3">
      <c r="A40" s="2">
        <v>659455</v>
      </c>
      <c r="B40" s="3">
        <v>41285</v>
      </c>
      <c r="C40" s="2" t="s">
        <v>28</v>
      </c>
      <c r="D40" s="2" t="s">
        <v>11</v>
      </c>
      <c r="E40" s="4">
        <v>670.4</v>
      </c>
      <c r="F40" s="4">
        <v>341.92</v>
      </c>
    </row>
    <row r="41" spans="1:6" x14ac:dyDescent="0.3">
      <c r="A41" s="2">
        <v>659455</v>
      </c>
      <c r="B41" s="3">
        <v>41285</v>
      </c>
      <c r="C41" s="2" t="s">
        <v>6</v>
      </c>
      <c r="D41" s="2" t="s">
        <v>16</v>
      </c>
      <c r="E41" s="4">
        <v>39.04</v>
      </c>
      <c r="F41" s="4">
        <v>19.52</v>
      </c>
    </row>
    <row r="42" spans="1:6" x14ac:dyDescent="0.3">
      <c r="A42" s="2">
        <v>659455</v>
      </c>
      <c r="B42" s="3">
        <v>41285</v>
      </c>
      <c r="C42" s="2" t="s">
        <v>6</v>
      </c>
      <c r="D42" s="2" t="s">
        <v>7</v>
      </c>
      <c r="E42" s="4">
        <v>394.8</v>
      </c>
      <c r="F42" s="4">
        <v>197.4</v>
      </c>
    </row>
    <row r="43" spans="1:6" x14ac:dyDescent="0.3">
      <c r="A43" s="2">
        <v>659455</v>
      </c>
      <c r="B43" s="3">
        <v>41285</v>
      </c>
      <c r="C43" s="2" t="s">
        <v>28</v>
      </c>
      <c r="D43" s="2" t="s">
        <v>11</v>
      </c>
      <c r="E43" s="4">
        <v>219.06</v>
      </c>
      <c r="F43" s="4">
        <v>118.3</v>
      </c>
    </row>
    <row r="44" spans="1:6" x14ac:dyDescent="0.3">
      <c r="A44" s="2">
        <v>659455</v>
      </c>
      <c r="B44" s="3">
        <v>41285</v>
      </c>
      <c r="C44" s="2" t="s">
        <v>27</v>
      </c>
      <c r="D44" s="2" t="s">
        <v>5</v>
      </c>
      <c r="E44" s="4">
        <v>200.6</v>
      </c>
      <c r="F44" s="4">
        <v>106.32</v>
      </c>
    </row>
    <row r="45" spans="1:6" x14ac:dyDescent="0.3">
      <c r="A45" s="2">
        <v>659456</v>
      </c>
      <c r="B45" s="3">
        <v>41286</v>
      </c>
      <c r="C45" s="2" t="s">
        <v>27</v>
      </c>
      <c r="D45" s="2" t="s">
        <v>13</v>
      </c>
      <c r="E45" s="4">
        <v>1150</v>
      </c>
      <c r="F45" s="4">
        <v>552</v>
      </c>
    </row>
    <row r="46" spans="1:6" x14ac:dyDescent="0.3">
      <c r="A46" s="2">
        <v>659456</v>
      </c>
      <c r="B46" s="3">
        <v>41286</v>
      </c>
      <c r="C46" s="2" t="s">
        <v>28</v>
      </c>
      <c r="D46" s="2" t="s">
        <v>12</v>
      </c>
      <c r="E46" s="4">
        <v>495</v>
      </c>
      <c r="F46" s="4">
        <v>237.6</v>
      </c>
    </row>
    <row r="47" spans="1:6" x14ac:dyDescent="0.3">
      <c r="A47" s="2">
        <v>659456</v>
      </c>
      <c r="B47" s="3">
        <v>41286</v>
      </c>
      <c r="C47" s="2" t="s">
        <v>6</v>
      </c>
      <c r="D47" s="2" t="s">
        <v>16</v>
      </c>
      <c r="E47" s="4">
        <v>51.24</v>
      </c>
      <c r="F47" s="4">
        <v>27.16</v>
      </c>
    </row>
    <row r="48" spans="1:6" x14ac:dyDescent="0.3">
      <c r="A48" s="2">
        <v>659457</v>
      </c>
      <c r="B48" s="3">
        <v>41286</v>
      </c>
      <c r="C48" s="2" t="s">
        <v>6</v>
      </c>
      <c r="D48" s="2" t="s">
        <v>16</v>
      </c>
      <c r="E48" s="4">
        <v>40.26</v>
      </c>
      <c r="F48" s="4">
        <v>21.33</v>
      </c>
    </row>
    <row r="49" spans="1:6" x14ac:dyDescent="0.3">
      <c r="A49" s="2">
        <v>659457</v>
      </c>
      <c r="B49" s="3">
        <v>41286</v>
      </c>
      <c r="C49" s="2" t="s">
        <v>28</v>
      </c>
      <c r="D49" s="2" t="s">
        <v>14</v>
      </c>
      <c r="E49" s="4">
        <v>60.6</v>
      </c>
      <c r="F49" s="4">
        <v>28.5</v>
      </c>
    </row>
    <row r="50" spans="1:6" x14ac:dyDescent="0.3">
      <c r="A50" s="2">
        <v>659457</v>
      </c>
      <c r="B50" s="3">
        <v>41286</v>
      </c>
      <c r="C50" s="2" t="s">
        <v>28</v>
      </c>
      <c r="D50" s="2" t="s">
        <v>11</v>
      </c>
      <c r="E50" s="4">
        <v>2394</v>
      </c>
      <c r="F50" s="4">
        <v>1292.76</v>
      </c>
    </row>
    <row r="51" spans="1:6" x14ac:dyDescent="0.3">
      <c r="A51" s="2">
        <v>659458</v>
      </c>
      <c r="B51" s="3">
        <v>41287</v>
      </c>
      <c r="C51" s="2" t="s">
        <v>6</v>
      </c>
      <c r="D51" s="2" t="s">
        <v>16</v>
      </c>
      <c r="E51" s="4">
        <v>207.36</v>
      </c>
      <c r="F51" s="4">
        <v>107.82</v>
      </c>
    </row>
    <row r="52" spans="1:6" x14ac:dyDescent="0.3">
      <c r="A52" s="2">
        <v>659458</v>
      </c>
      <c r="B52" s="3">
        <v>41287</v>
      </c>
      <c r="C52" s="2" t="s">
        <v>6</v>
      </c>
      <c r="D52" s="2" t="s">
        <v>17</v>
      </c>
      <c r="E52" s="4">
        <v>1316.7</v>
      </c>
      <c r="F52" s="4">
        <v>618.84</v>
      </c>
    </row>
    <row r="53" spans="1:6" x14ac:dyDescent="0.3">
      <c r="A53" s="2">
        <v>659459</v>
      </c>
      <c r="B53" s="3">
        <v>41288</v>
      </c>
      <c r="C53" s="2" t="s">
        <v>6</v>
      </c>
      <c r="D53" s="2" t="s">
        <v>16</v>
      </c>
      <c r="E53" s="4">
        <v>183</v>
      </c>
      <c r="F53" s="4">
        <v>95.2</v>
      </c>
    </row>
  </sheetData>
  <sheetProtection algorithmName="SHA-512" hashValue="suRHMuLciK3lyTqvVY8xQAmwJuZXcG0c3dlUN98rKtjC2im9/w80ys6uMOL0lk1aIz9JoZ/ZoAB8v38hn+Ibmg==" saltValue="KAnxZ5fkYq9qr0Wok27c7A==" spinCount="100000" sheet="1" objects="1" scenarios="1" selectLockedCells="1" selectUnlockedCells="1"/>
  <conditionalFormatting sqref="E7:E53">
    <cfRule type="expression" dxfId="13" priority="1">
      <formula>A7=$A$4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7E1D-53C3-4235-A05E-FF0920997363}">
  <sheetPr>
    <tabColor rgb="FF0000FF"/>
  </sheetPr>
  <dimension ref="A1:M53"/>
  <sheetViews>
    <sheetView workbookViewId="0">
      <selection activeCell="N13" sqref="N13"/>
    </sheetView>
  </sheetViews>
  <sheetFormatPr defaultRowHeight="14.4" x14ac:dyDescent="0.3"/>
  <cols>
    <col min="1" max="1" width="15.21875" bestFit="1" customWidth="1"/>
    <col min="2" max="2" width="10.77734375" bestFit="1" customWidth="1"/>
    <col min="3" max="3" width="14.21875" customWidth="1"/>
    <col min="4" max="4" width="11.77734375" customWidth="1"/>
    <col min="5" max="5" width="10.77734375" customWidth="1"/>
    <col min="6" max="6" width="11.21875" customWidth="1"/>
  </cols>
  <sheetData>
    <row r="1" spans="1:13" x14ac:dyDescent="0.3">
      <c r="A1" t="s">
        <v>24</v>
      </c>
    </row>
    <row r="3" spans="1:13" x14ac:dyDescent="0.3">
      <c r="A3" s="15" t="s">
        <v>0</v>
      </c>
    </row>
    <row r="4" spans="1:13" x14ac:dyDescent="0.3">
      <c r="A4" s="13">
        <v>41279</v>
      </c>
    </row>
    <row r="6" spans="1:13" x14ac:dyDescent="0.3">
      <c r="A6" s="1" t="s">
        <v>26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  <c r="H6" s="26"/>
      <c r="I6" s="26"/>
      <c r="J6" s="26"/>
      <c r="K6" s="26"/>
      <c r="L6" s="26"/>
      <c r="M6" s="26"/>
    </row>
    <row r="7" spans="1:13" x14ac:dyDescent="0.3">
      <c r="A7" s="2">
        <v>659455</v>
      </c>
      <c r="B7" s="3">
        <v>41285</v>
      </c>
      <c r="C7" s="2" t="s">
        <v>6</v>
      </c>
      <c r="D7" s="2" t="s">
        <v>16</v>
      </c>
      <c r="E7" s="4">
        <v>39.04</v>
      </c>
      <c r="F7" s="4">
        <v>19.52</v>
      </c>
      <c r="H7" s="12"/>
      <c r="I7" s="12"/>
      <c r="J7" s="12"/>
      <c r="K7" s="12"/>
      <c r="L7" s="12"/>
      <c r="M7" s="12"/>
    </row>
    <row r="8" spans="1:13" x14ac:dyDescent="0.3">
      <c r="A8" s="2">
        <v>659457</v>
      </c>
      <c r="B8" s="3">
        <v>41286</v>
      </c>
      <c r="C8" s="2" t="s">
        <v>6</v>
      </c>
      <c r="D8" s="2" t="s">
        <v>16</v>
      </c>
      <c r="E8" s="4">
        <v>40.26</v>
      </c>
      <c r="F8" s="4">
        <v>21.33</v>
      </c>
      <c r="H8" s="12"/>
      <c r="I8" s="12"/>
      <c r="J8" s="12"/>
      <c r="K8" s="12"/>
      <c r="L8" s="12"/>
      <c r="M8" s="12"/>
    </row>
    <row r="9" spans="1:13" x14ac:dyDescent="0.3">
      <c r="A9" s="2">
        <v>659447</v>
      </c>
      <c r="B9" s="3">
        <v>41279</v>
      </c>
      <c r="C9" s="2" t="s">
        <v>28</v>
      </c>
      <c r="D9" s="2" t="s">
        <v>14</v>
      </c>
      <c r="E9" s="4">
        <v>48.48</v>
      </c>
      <c r="F9" s="4">
        <v>25.2</v>
      </c>
      <c r="H9" s="12"/>
      <c r="I9" s="12"/>
      <c r="J9" s="12"/>
      <c r="K9" s="12"/>
      <c r="L9" s="12"/>
      <c r="M9" s="12"/>
    </row>
    <row r="10" spans="1:13" x14ac:dyDescent="0.3">
      <c r="A10" s="2">
        <v>659456</v>
      </c>
      <c r="B10" s="3">
        <v>41286</v>
      </c>
      <c r="C10" s="2" t="s">
        <v>6</v>
      </c>
      <c r="D10" s="2" t="s">
        <v>16</v>
      </c>
      <c r="E10" s="4">
        <v>51.24</v>
      </c>
      <c r="F10" s="4">
        <v>27.16</v>
      </c>
      <c r="H10" s="12"/>
      <c r="I10" s="12"/>
      <c r="J10" s="12"/>
      <c r="K10" s="12"/>
      <c r="L10" s="12"/>
      <c r="M10" s="12"/>
    </row>
    <row r="11" spans="1:13" x14ac:dyDescent="0.3">
      <c r="A11" s="2">
        <v>659457</v>
      </c>
      <c r="B11" s="3">
        <v>41286</v>
      </c>
      <c r="C11" s="2" t="s">
        <v>28</v>
      </c>
      <c r="D11" s="2" t="s">
        <v>14</v>
      </c>
      <c r="E11" s="4">
        <v>60.6</v>
      </c>
      <c r="F11" s="4">
        <v>28.5</v>
      </c>
      <c r="H11" s="12"/>
      <c r="I11" s="12"/>
      <c r="J11" s="12"/>
      <c r="K11" s="12"/>
      <c r="L11" s="12"/>
      <c r="M11" s="12"/>
    </row>
    <row r="12" spans="1:13" x14ac:dyDescent="0.3">
      <c r="A12" s="2">
        <v>659445</v>
      </c>
      <c r="B12" s="3">
        <v>41279</v>
      </c>
      <c r="C12" s="2" t="s">
        <v>28</v>
      </c>
      <c r="D12" s="2" t="s">
        <v>11</v>
      </c>
      <c r="E12" s="4">
        <v>114</v>
      </c>
      <c r="F12" s="4">
        <v>55.86</v>
      </c>
      <c r="H12" s="12"/>
      <c r="I12" s="12"/>
      <c r="J12" s="12"/>
      <c r="K12" s="12"/>
      <c r="L12" s="12"/>
      <c r="M12" s="12"/>
    </row>
    <row r="13" spans="1:13" x14ac:dyDescent="0.3">
      <c r="A13" s="2">
        <v>659459</v>
      </c>
      <c r="B13" s="3">
        <v>41288</v>
      </c>
      <c r="C13" s="2" t="s">
        <v>6</v>
      </c>
      <c r="D13" s="2" t="s">
        <v>16</v>
      </c>
      <c r="E13" s="4">
        <v>183</v>
      </c>
      <c r="F13" s="4">
        <v>95.2</v>
      </c>
      <c r="H13" s="12"/>
      <c r="I13" s="12"/>
      <c r="J13" s="12"/>
      <c r="K13" s="12"/>
      <c r="L13" s="12"/>
      <c r="M13" s="12"/>
    </row>
    <row r="14" spans="1:13" x14ac:dyDescent="0.3">
      <c r="A14" s="2">
        <v>659451</v>
      </c>
      <c r="B14" s="3">
        <v>41283</v>
      </c>
      <c r="C14" s="2" t="s">
        <v>6</v>
      </c>
      <c r="D14" s="2" t="s">
        <v>7</v>
      </c>
      <c r="E14" s="4">
        <v>203.04</v>
      </c>
      <c r="F14" s="4">
        <v>95.4</v>
      </c>
      <c r="H14" s="12"/>
      <c r="I14" s="12"/>
      <c r="J14" s="12"/>
      <c r="K14" s="12"/>
      <c r="L14" s="12"/>
      <c r="M14" s="12"/>
    </row>
    <row r="15" spans="1:13" x14ac:dyDescent="0.3">
      <c r="A15" s="2">
        <v>659455</v>
      </c>
      <c r="B15" s="3">
        <v>41285</v>
      </c>
      <c r="C15" s="2" t="s">
        <v>27</v>
      </c>
      <c r="D15" s="2" t="s">
        <v>5</v>
      </c>
      <c r="E15" s="4">
        <v>200.6</v>
      </c>
      <c r="F15" s="4">
        <v>106.32</v>
      </c>
      <c r="H15" s="12"/>
      <c r="I15" s="12"/>
      <c r="J15" s="12"/>
      <c r="K15" s="12"/>
      <c r="L15" s="12"/>
      <c r="M15" s="12"/>
    </row>
    <row r="16" spans="1:13" x14ac:dyDescent="0.3">
      <c r="A16" s="2">
        <v>659458</v>
      </c>
      <c r="B16" s="3">
        <v>41287</v>
      </c>
      <c r="C16" s="2" t="s">
        <v>6</v>
      </c>
      <c r="D16" s="2" t="s">
        <v>16</v>
      </c>
      <c r="E16" s="4">
        <v>207.36</v>
      </c>
      <c r="F16" s="4">
        <v>107.82</v>
      </c>
      <c r="H16" s="12"/>
      <c r="I16" s="12"/>
      <c r="J16" s="12"/>
      <c r="K16" s="12"/>
      <c r="L16" s="12"/>
      <c r="M16" s="12"/>
    </row>
    <row r="17" spans="1:13" x14ac:dyDescent="0.3">
      <c r="A17" s="2">
        <v>659455</v>
      </c>
      <c r="B17" s="3">
        <v>41285</v>
      </c>
      <c r="C17" s="2" t="s">
        <v>28</v>
      </c>
      <c r="D17" s="2" t="s">
        <v>11</v>
      </c>
      <c r="E17" s="4">
        <v>219.06</v>
      </c>
      <c r="F17" s="4">
        <v>118.3</v>
      </c>
      <c r="H17" s="12"/>
      <c r="I17" s="12"/>
      <c r="J17" s="12"/>
      <c r="K17" s="12"/>
      <c r="L17" s="12"/>
      <c r="M17" s="12"/>
    </row>
    <row r="18" spans="1:13" x14ac:dyDescent="0.3">
      <c r="A18" s="2">
        <v>659453</v>
      </c>
      <c r="B18" s="3">
        <v>41284</v>
      </c>
      <c r="C18" s="2" t="s">
        <v>6</v>
      </c>
      <c r="D18" s="2" t="s">
        <v>7</v>
      </c>
      <c r="E18" s="4">
        <v>241.28</v>
      </c>
      <c r="F18" s="4">
        <v>132.72</v>
      </c>
      <c r="H18" s="12"/>
      <c r="I18" s="12"/>
      <c r="J18" s="12"/>
      <c r="K18" s="12"/>
      <c r="L18" s="12"/>
      <c r="M18" s="12"/>
    </row>
    <row r="19" spans="1:13" x14ac:dyDescent="0.3">
      <c r="A19" s="2">
        <v>659451</v>
      </c>
      <c r="B19" s="3">
        <v>41283</v>
      </c>
      <c r="C19" s="2" t="s">
        <v>6</v>
      </c>
      <c r="D19" s="2" t="s">
        <v>16</v>
      </c>
      <c r="E19" s="4">
        <v>256.2</v>
      </c>
      <c r="F19" s="4">
        <v>140.9</v>
      </c>
      <c r="H19" s="12"/>
      <c r="I19" s="12"/>
      <c r="J19" s="12"/>
      <c r="K19" s="12"/>
      <c r="L19" s="12"/>
      <c r="M19" s="12"/>
    </row>
    <row r="20" spans="1:13" x14ac:dyDescent="0.3">
      <c r="A20" s="2">
        <v>659455</v>
      </c>
      <c r="B20" s="3">
        <v>41285</v>
      </c>
      <c r="C20" s="2" t="s">
        <v>28</v>
      </c>
      <c r="D20" s="2" t="s">
        <v>11</v>
      </c>
      <c r="E20" s="4">
        <v>368.72</v>
      </c>
      <c r="F20" s="4">
        <v>188.04</v>
      </c>
      <c r="H20" s="12"/>
      <c r="I20" s="12"/>
      <c r="J20" s="12"/>
      <c r="K20" s="12"/>
      <c r="L20" s="12"/>
      <c r="M20" s="12"/>
    </row>
    <row r="21" spans="1:13" x14ac:dyDescent="0.3">
      <c r="A21" s="2">
        <v>659440</v>
      </c>
      <c r="B21" s="3">
        <v>41276</v>
      </c>
      <c r="C21" s="2" t="s">
        <v>27</v>
      </c>
      <c r="D21" s="2" t="s">
        <v>8</v>
      </c>
      <c r="E21" s="4">
        <v>357.5</v>
      </c>
      <c r="F21" s="4">
        <v>193.06</v>
      </c>
      <c r="H21" s="12"/>
      <c r="I21" s="12"/>
      <c r="J21" s="12"/>
      <c r="K21" s="12"/>
      <c r="L21" s="12"/>
      <c r="M21" s="12"/>
    </row>
    <row r="22" spans="1:13" x14ac:dyDescent="0.3">
      <c r="A22" s="2">
        <v>659455</v>
      </c>
      <c r="B22" s="3">
        <v>41285</v>
      </c>
      <c r="C22" s="2" t="s">
        <v>6</v>
      </c>
      <c r="D22" s="2" t="s">
        <v>7</v>
      </c>
      <c r="E22" s="4">
        <v>394.8</v>
      </c>
      <c r="F22" s="4">
        <v>197.4</v>
      </c>
      <c r="H22" s="12"/>
      <c r="I22" s="12"/>
      <c r="J22" s="12"/>
      <c r="K22" s="12"/>
      <c r="L22" s="12"/>
      <c r="M22" s="12"/>
    </row>
    <row r="23" spans="1:13" x14ac:dyDescent="0.3">
      <c r="A23" s="2">
        <v>659440</v>
      </c>
      <c r="B23" s="3">
        <v>41276</v>
      </c>
      <c r="C23" s="2" t="s">
        <v>6</v>
      </c>
      <c r="D23" s="2" t="s">
        <v>7</v>
      </c>
      <c r="E23" s="4">
        <v>451.2</v>
      </c>
      <c r="F23" s="4">
        <v>212.08</v>
      </c>
      <c r="H23" s="12"/>
      <c r="I23" s="12"/>
      <c r="J23" s="12"/>
      <c r="K23" s="12"/>
      <c r="L23" s="12"/>
      <c r="M23" s="12"/>
    </row>
    <row r="24" spans="1:13" x14ac:dyDescent="0.3">
      <c r="A24" s="2">
        <v>659444</v>
      </c>
      <c r="B24" s="3">
        <v>41279</v>
      </c>
      <c r="C24" s="2" t="s">
        <v>27</v>
      </c>
      <c r="D24" s="2" t="s">
        <v>10</v>
      </c>
      <c r="E24" s="4">
        <v>464.96</v>
      </c>
      <c r="F24" s="4">
        <v>237.12</v>
      </c>
      <c r="H24" s="12"/>
      <c r="I24" s="12"/>
      <c r="J24" s="12"/>
      <c r="K24" s="12"/>
      <c r="L24" s="12"/>
      <c r="M24" s="12"/>
    </row>
    <row r="25" spans="1:13" x14ac:dyDescent="0.3">
      <c r="A25" s="2">
        <v>659456</v>
      </c>
      <c r="B25" s="3">
        <v>41286</v>
      </c>
      <c r="C25" s="2" t="s">
        <v>28</v>
      </c>
      <c r="D25" s="2" t="s">
        <v>12</v>
      </c>
      <c r="E25" s="4">
        <v>495</v>
      </c>
      <c r="F25" s="4">
        <v>237.6</v>
      </c>
      <c r="H25" s="12"/>
      <c r="I25" s="12"/>
      <c r="J25" s="12"/>
      <c r="K25" s="12"/>
      <c r="L25" s="12"/>
      <c r="M25" s="12"/>
    </row>
    <row r="26" spans="1:13" x14ac:dyDescent="0.3">
      <c r="A26" s="2">
        <v>659443</v>
      </c>
      <c r="B26" s="3">
        <v>41279</v>
      </c>
      <c r="C26" s="2" t="s">
        <v>27</v>
      </c>
      <c r="D26" s="2" t="s">
        <v>10</v>
      </c>
      <c r="E26" s="4">
        <v>503.1</v>
      </c>
      <c r="F26" s="4">
        <v>251.56</v>
      </c>
      <c r="H26" s="12"/>
      <c r="I26" s="12"/>
      <c r="J26" s="12"/>
      <c r="K26" s="12"/>
      <c r="L26" s="12"/>
      <c r="M26" s="12"/>
    </row>
    <row r="27" spans="1:13" x14ac:dyDescent="0.3">
      <c r="A27" s="2">
        <v>659441</v>
      </c>
      <c r="B27" s="3">
        <v>41277</v>
      </c>
      <c r="C27" s="2" t="s">
        <v>27</v>
      </c>
      <c r="D27" s="2" t="s">
        <v>5</v>
      </c>
      <c r="E27" s="4">
        <v>561.67999999999995</v>
      </c>
      <c r="F27" s="4">
        <v>303.31</v>
      </c>
      <c r="H27" s="12"/>
      <c r="I27" s="12"/>
      <c r="J27" s="12"/>
      <c r="K27" s="12"/>
      <c r="L27" s="12"/>
      <c r="M27" s="12"/>
    </row>
    <row r="28" spans="1:13" x14ac:dyDescent="0.3">
      <c r="A28" s="2">
        <v>659449</v>
      </c>
      <c r="B28" s="3">
        <v>41281</v>
      </c>
      <c r="C28" s="2" t="s">
        <v>27</v>
      </c>
      <c r="D28" s="2" t="s">
        <v>13</v>
      </c>
      <c r="E28" s="4">
        <v>611.41999999999996</v>
      </c>
      <c r="F28" s="4">
        <v>324.06</v>
      </c>
      <c r="H28" s="12"/>
      <c r="I28" s="12"/>
      <c r="J28" s="12"/>
      <c r="K28" s="12"/>
      <c r="L28" s="12"/>
      <c r="M28" s="12"/>
    </row>
    <row r="29" spans="1:13" x14ac:dyDescent="0.3">
      <c r="A29" s="2">
        <v>659455</v>
      </c>
      <c r="B29" s="3">
        <v>41285</v>
      </c>
      <c r="C29" s="2" t="s">
        <v>28</v>
      </c>
      <c r="D29" s="2" t="s">
        <v>11</v>
      </c>
      <c r="E29" s="4">
        <v>670.4</v>
      </c>
      <c r="F29" s="4">
        <v>341.92</v>
      </c>
      <c r="H29" s="12"/>
      <c r="I29" s="12"/>
      <c r="J29" s="12"/>
      <c r="K29" s="12"/>
      <c r="L29" s="12"/>
      <c r="M29" s="12"/>
    </row>
    <row r="30" spans="1:13" x14ac:dyDescent="0.3">
      <c r="A30" s="2">
        <v>659448</v>
      </c>
      <c r="B30" s="3">
        <v>41280</v>
      </c>
      <c r="C30" s="2" t="s">
        <v>28</v>
      </c>
      <c r="D30" s="2" t="s">
        <v>11</v>
      </c>
      <c r="E30" s="4">
        <v>670.4</v>
      </c>
      <c r="F30" s="4">
        <v>355.28</v>
      </c>
      <c r="H30" s="12"/>
      <c r="I30" s="12"/>
      <c r="J30" s="12"/>
      <c r="K30" s="12"/>
      <c r="L30" s="12"/>
      <c r="M30" s="12"/>
    </row>
    <row r="31" spans="1:13" x14ac:dyDescent="0.3">
      <c r="A31" s="2">
        <v>659446</v>
      </c>
      <c r="B31" s="3">
        <v>41279</v>
      </c>
      <c r="C31" s="2" t="s">
        <v>28</v>
      </c>
      <c r="D31" s="2" t="s">
        <v>11</v>
      </c>
      <c r="E31" s="4">
        <v>730.2</v>
      </c>
      <c r="F31" s="4">
        <v>365.1</v>
      </c>
      <c r="H31" s="12"/>
      <c r="I31" s="12"/>
      <c r="J31" s="12"/>
      <c r="K31" s="12"/>
      <c r="L31" s="12"/>
      <c r="M31" s="12"/>
    </row>
    <row r="32" spans="1:13" x14ac:dyDescent="0.3">
      <c r="A32" s="2">
        <v>659446</v>
      </c>
      <c r="B32" s="3">
        <v>41279</v>
      </c>
      <c r="C32" s="2" t="s">
        <v>28</v>
      </c>
      <c r="D32" s="2" t="s">
        <v>12</v>
      </c>
      <c r="E32" s="4">
        <v>1008.72</v>
      </c>
      <c r="F32" s="4">
        <v>504.36</v>
      </c>
      <c r="H32" s="12"/>
      <c r="I32" s="12"/>
      <c r="J32" s="12"/>
      <c r="K32" s="12"/>
      <c r="L32" s="12"/>
      <c r="M32" s="12"/>
    </row>
    <row r="33" spans="1:13" x14ac:dyDescent="0.3">
      <c r="A33" s="2">
        <v>659450</v>
      </c>
      <c r="B33" s="3">
        <v>41282</v>
      </c>
      <c r="C33" s="2" t="s">
        <v>27</v>
      </c>
      <c r="D33" s="2" t="s">
        <v>5</v>
      </c>
      <c r="E33" s="4">
        <v>962.88</v>
      </c>
      <c r="F33" s="4">
        <v>510.32</v>
      </c>
      <c r="H33" s="12"/>
      <c r="I33" s="12"/>
      <c r="J33" s="12"/>
      <c r="K33" s="12"/>
      <c r="L33" s="12"/>
      <c r="M33" s="12"/>
    </row>
    <row r="34" spans="1:13" x14ac:dyDescent="0.3">
      <c r="A34" s="2">
        <v>659456</v>
      </c>
      <c r="B34" s="3">
        <v>41286</v>
      </c>
      <c r="C34" s="2" t="s">
        <v>27</v>
      </c>
      <c r="D34" s="2" t="s">
        <v>13</v>
      </c>
      <c r="E34" s="4">
        <v>1150</v>
      </c>
      <c r="F34" s="4">
        <v>552</v>
      </c>
      <c r="H34" s="12"/>
      <c r="I34" s="12"/>
      <c r="J34" s="12"/>
      <c r="K34" s="12"/>
      <c r="L34" s="12"/>
      <c r="M34" s="12"/>
    </row>
    <row r="35" spans="1:13" x14ac:dyDescent="0.3">
      <c r="A35" s="2">
        <v>659439</v>
      </c>
      <c r="B35" s="3">
        <v>41275</v>
      </c>
      <c r="C35" s="2" t="s">
        <v>27</v>
      </c>
      <c r="D35" s="2" t="s">
        <v>5</v>
      </c>
      <c r="E35" s="4">
        <v>1232.44</v>
      </c>
      <c r="F35" s="4">
        <v>591.58000000000004</v>
      </c>
      <c r="H35" s="12"/>
      <c r="I35" s="12"/>
      <c r="J35" s="12"/>
      <c r="K35" s="12"/>
      <c r="L35" s="12"/>
      <c r="M35" s="12"/>
    </row>
    <row r="36" spans="1:13" x14ac:dyDescent="0.3">
      <c r="A36" s="2">
        <v>659458</v>
      </c>
      <c r="B36" s="3">
        <v>41287</v>
      </c>
      <c r="C36" s="2" t="s">
        <v>6</v>
      </c>
      <c r="D36" s="2" t="s">
        <v>17</v>
      </c>
      <c r="E36" s="4">
        <v>1316.7</v>
      </c>
      <c r="F36" s="4">
        <v>618.84</v>
      </c>
      <c r="H36" s="12"/>
      <c r="I36" s="12"/>
      <c r="J36" s="12"/>
      <c r="K36" s="12"/>
      <c r="L36" s="12"/>
      <c r="M36" s="12"/>
    </row>
    <row r="37" spans="1:13" x14ac:dyDescent="0.3">
      <c r="A37" s="2">
        <v>659452</v>
      </c>
      <c r="B37" s="3">
        <v>41284</v>
      </c>
      <c r="C37" s="2" t="s">
        <v>28</v>
      </c>
      <c r="D37" s="2" t="s">
        <v>14</v>
      </c>
      <c r="E37" s="4">
        <v>1360</v>
      </c>
      <c r="F37" s="4">
        <v>639.20000000000005</v>
      </c>
      <c r="H37" s="12"/>
      <c r="I37" s="12"/>
      <c r="J37" s="12"/>
      <c r="K37" s="12"/>
      <c r="L37" s="12"/>
      <c r="M37" s="12"/>
    </row>
    <row r="38" spans="1:13" x14ac:dyDescent="0.3">
      <c r="A38" s="2">
        <v>659455</v>
      </c>
      <c r="B38" s="3">
        <v>41285</v>
      </c>
      <c r="C38" s="2" t="s">
        <v>28</v>
      </c>
      <c r="D38" s="2" t="s">
        <v>14</v>
      </c>
      <c r="E38" s="4">
        <v>1632</v>
      </c>
      <c r="F38" s="4">
        <v>767.04</v>
      </c>
      <c r="H38" s="12"/>
      <c r="I38" s="12"/>
      <c r="J38" s="12"/>
      <c r="K38" s="12"/>
      <c r="L38" s="12"/>
      <c r="M38" s="12"/>
    </row>
    <row r="39" spans="1:13" x14ac:dyDescent="0.3">
      <c r="A39" s="2">
        <v>659445</v>
      </c>
      <c r="B39" s="3">
        <v>41279</v>
      </c>
      <c r="C39" s="2" t="s">
        <v>27</v>
      </c>
      <c r="D39" s="2" t="s">
        <v>8</v>
      </c>
      <c r="E39" s="4">
        <v>1650</v>
      </c>
      <c r="F39" s="4">
        <v>792</v>
      </c>
      <c r="H39" s="12"/>
      <c r="I39" s="12"/>
      <c r="J39" s="12"/>
      <c r="K39" s="12"/>
      <c r="L39" s="12"/>
      <c r="M39" s="12"/>
    </row>
    <row r="40" spans="1:13" x14ac:dyDescent="0.3">
      <c r="A40" s="2">
        <v>659454</v>
      </c>
      <c r="B40" s="3">
        <v>41285</v>
      </c>
      <c r="C40" s="2" t="s">
        <v>28</v>
      </c>
      <c r="D40" s="2" t="s">
        <v>12</v>
      </c>
      <c r="E40" s="4">
        <v>1672</v>
      </c>
      <c r="F40" s="4">
        <v>819.28</v>
      </c>
      <c r="H40" s="12"/>
      <c r="I40" s="12"/>
      <c r="J40" s="12"/>
      <c r="K40" s="12"/>
      <c r="L40" s="12"/>
      <c r="M40" s="12"/>
    </row>
    <row r="41" spans="1:13" x14ac:dyDescent="0.3">
      <c r="A41" s="2">
        <v>659447</v>
      </c>
      <c r="B41" s="3">
        <v>41279</v>
      </c>
      <c r="C41" s="2" t="s">
        <v>28</v>
      </c>
      <c r="D41" s="2" t="s">
        <v>15</v>
      </c>
      <c r="E41" s="4">
        <v>1664</v>
      </c>
      <c r="F41" s="4">
        <v>881.92</v>
      </c>
      <c r="H41" s="12"/>
      <c r="I41" s="12"/>
      <c r="J41" s="12"/>
      <c r="K41" s="12"/>
      <c r="L41" s="12"/>
      <c r="M41" s="12"/>
    </row>
    <row r="42" spans="1:13" x14ac:dyDescent="0.3">
      <c r="A42" s="2">
        <v>659441</v>
      </c>
      <c r="B42" s="3">
        <v>41277</v>
      </c>
      <c r="C42" s="2" t="s">
        <v>27</v>
      </c>
      <c r="D42" s="2" t="s">
        <v>8</v>
      </c>
      <c r="E42" s="4">
        <v>1980</v>
      </c>
      <c r="F42" s="4">
        <v>990</v>
      </c>
      <c r="H42" s="12"/>
      <c r="I42" s="12"/>
      <c r="J42" s="12"/>
      <c r="K42" s="12"/>
      <c r="L42" s="12"/>
      <c r="M42" s="12"/>
    </row>
    <row r="43" spans="1:13" x14ac:dyDescent="0.3">
      <c r="A43" s="2">
        <v>659440</v>
      </c>
      <c r="B43" s="3">
        <v>41276</v>
      </c>
      <c r="C43" s="2" t="s">
        <v>6</v>
      </c>
      <c r="D43" s="2" t="s">
        <v>9</v>
      </c>
      <c r="E43" s="4">
        <v>1957.6</v>
      </c>
      <c r="F43" s="4">
        <v>1037.55</v>
      </c>
      <c r="H43" s="12"/>
      <c r="I43" s="12"/>
      <c r="J43" s="12"/>
      <c r="K43" s="12"/>
      <c r="L43" s="12"/>
      <c r="M43" s="12"/>
    </row>
    <row r="44" spans="1:13" x14ac:dyDescent="0.3">
      <c r="A44" s="2">
        <v>659446</v>
      </c>
      <c r="B44" s="3">
        <v>41279</v>
      </c>
      <c r="C44" s="2" t="s">
        <v>27</v>
      </c>
      <c r="D44" s="2" t="s">
        <v>5</v>
      </c>
      <c r="E44" s="4">
        <v>2304</v>
      </c>
      <c r="F44" s="4">
        <v>1082.8800000000001</v>
      </c>
      <c r="H44" s="12"/>
      <c r="I44" s="12"/>
      <c r="J44" s="12"/>
      <c r="K44" s="12"/>
      <c r="L44" s="12"/>
      <c r="M44" s="12"/>
    </row>
    <row r="45" spans="1:13" x14ac:dyDescent="0.3">
      <c r="A45" s="2">
        <v>659457</v>
      </c>
      <c r="B45" s="3">
        <v>41286</v>
      </c>
      <c r="C45" s="2" t="s">
        <v>28</v>
      </c>
      <c r="D45" s="2" t="s">
        <v>11</v>
      </c>
      <c r="E45" s="4">
        <v>2394</v>
      </c>
      <c r="F45" s="4">
        <v>1292.76</v>
      </c>
      <c r="H45" s="12"/>
      <c r="I45" s="12"/>
      <c r="J45" s="12"/>
      <c r="K45" s="12"/>
      <c r="L45" s="12"/>
      <c r="M45" s="12"/>
    </row>
    <row r="46" spans="1:13" x14ac:dyDescent="0.3">
      <c r="A46" s="2">
        <v>659446</v>
      </c>
      <c r="B46" s="3">
        <v>41279</v>
      </c>
      <c r="C46" s="2" t="s">
        <v>27</v>
      </c>
      <c r="D46" s="2" t="s">
        <v>5</v>
      </c>
      <c r="E46" s="4">
        <v>2744.98</v>
      </c>
      <c r="F46" s="4">
        <v>1317.61</v>
      </c>
      <c r="H46" s="12"/>
      <c r="I46" s="12"/>
      <c r="J46" s="12"/>
      <c r="K46" s="12"/>
      <c r="L46" s="12"/>
      <c r="M46" s="12"/>
    </row>
    <row r="47" spans="1:13" x14ac:dyDescent="0.3">
      <c r="A47" s="2">
        <v>659455</v>
      </c>
      <c r="B47" s="3">
        <v>41285</v>
      </c>
      <c r="C47" s="2" t="s">
        <v>27</v>
      </c>
      <c r="D47" s="2" t="s">
        <v>10</v>
      </c>
      <c r="E47" s="4">
        <v>2631.6</v>
      </c>
      <c r="F47" s="4">
        <v>1421.04</v>
      </c>
      <c r="H47" s="12"/>
      <c r="I47" s="12"/>
      <c r="J47" s="12"/>
      <c r="K47" s="12"/>
      <c r="L47" s="12"/>
      <c r="M47" s="12"/>
    </row>
    <row r="48" spans="1:13" x14ac:dyDescent="0.3">
      <c r="A48" s="2">
        <v>659442</v>
      </c>
      <c r="B48" s="3">
        <v>41278</v>
      </c>
      <c r="C48" s="2" t="s">
        <v>27</v>
      </c>
      <c r="D48" s="2" t="s">
        <v>5</v>
      </c>
      <c r="E48" s="4">
        <v>2772</v>
      </c>
      <c r="F48" s="4">
        <v>1469.16</v>
      </c>
      <c r="H48" s="12"/>
      <c r="I48" s="12"/>
      <c r="J48" s="12"/>
      <c r="K48" s="12"/>
      <c r="L48" s="12"/>
      <c r="M48" s="12"/>
    </row>
    <row r="49" spans="1:13" x14ac:dyDescent="0.3">
      <c r="A49" s="2">
        <v>659446</v>
      </c>
      <c r="B49" s="3">
        <v>41279</v>
      </c>
      <c r="C49" s="2" t="s">
        <v>27</v>
      </c>
      <c r="D49" s="2" t="s">
        <v>5</v>
      </c>
      <c r="E49" s="4">
        <v>3361.2</v>
      </c>
      <c r="F49" s="4">
        <v>1579.75</v>
      </c>
      <c r="H49" s="12"/>
      <c r="I49" s="12"/>
      <c r="J49" s="12"/>
      <c r="K49" s="12"/>
      <c r="L49" s="12"/>
      <c r="M49" s="12"/>
    </row>
    <row r="50" spans="1:13" x14ac:dyDescent="0.3">
      <c r="A50" s="2">
        <v>659446</v>
      </c>
      <c r="B50" s="3">
        <v>41279</v>
      </c>
      <c r="C50" s="2" t="s">
        <v>27</v>
      </c>
      <c r="D50" s="2" t="s">
        <v>13</v>
      </c>
      <c r="E50" s="4">
        <v>3174</v>
      </c>
      <c r="F50" s="4">
        <v>1713.96</v>
      </c>
      <c r="H50" s="12"/>
      <c r="I50" s="12"/>
      <c r="J50" s="12"/>
      <c r="K50" s="12"/>
      <c r="L50" s="12"/>
      <c r="M50" s="12"/>
    </row>
    <row r="51" spans="1:13" x14ac:dyDescent="0.3">
      <c r="A51" s="2">
        <v>659444</v>
      </c>
      <c r="B51" s="3">
        <v>41279</v>
      </c>
      <c r="C51" s="2" t="s">
        <v>6</v>
      </c>
      <c r="D51" s="2" t="s">
        <v>9</v>
      </c>
      <c r="E51" s="4">
        <v>3938.4</v>
      </c>
      <c r="F51" s="4">
        <v>1890.4</v>
      </c>
      <c r="H51" s="12"/>
      <c r="I51" s="12"/>
      <c r="J51" s="12"/>
      <c r="K51" s="12"/>
      <c r="L51" s="12"/>
      <c r="M51" s="12"/>
    </row>
    <row r="52" spans="1:13" x14ac:dyDescent="0.3">
      <c r="A52" s="2">
        <v>659453</v>
      </c>
      <c r="B52" s="3">
        <v>41284</v>
      </c>
      <c r="C52" s="2" t="s">
        <v>6</v>
      </c>
      <c r="D52" s="2" t="s">
        <v>17</v>
      </c>
      <c r="E52" s="4">
        <v>4309.2</v>
      </c>
      <c r="F52" s="4">
        <v>2326.9499999999998</v>
      </c>
      <c r="H52" s="12"/>
      <c r="I52" s="12"/>
      <c r="J52" s="12"/>
      <c r="K52" s="12"/>
      <c r="L52" s="12"/>
      <c r="M52" s="12"/>
    </row>
    <row r="53" spans="1:13" x14ac:dyDescent="0.3">
      <c r="A53" s="2">
        <v>659443</v>
      </c>
      <c r="B53" s="3">
        <v>41279</v>
      </c>
      <c r="C53" s="2" t="s">
        <v>27</v>
      </c>
      <c r="D53" s="2" t="s">
        <v>5</v>
      </c>
      <c r="E53" s="4">
        <v>4536</v>
      </c>
      <c r="F53" s="4">
        <v>2358.7199999999998</v>
      </c>
      <c r="H53" s="12"/>
      <c r="I53" s="12"/>
      <c r="J53" s="12"/>
      <c r="K53" s="12"/>
      <c r="L53" s="12"/>
      <c r="M53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0000"/>
  </sheetPr>
  <dimension ref="A1:M53"/>
  <sheetViews>
    <sheetView zoomScale="95" zoomScaleNormal="115" workbookViewId="0">
      <selection activeCell="L25" sqref="A1:XFD1048576"/>
    </sheetView>
  </sheetViews>
  <sheetFormatPr defaultRowHeight="14.4" x14ac:dyDescent="0.3"/>
  <cols>
    <col min="1" max="1" width="15.21875" bestFit="1" customWidth="1"/>
    <col min="2" max="2" width="10.77734375" bestFit="1" customWidth="1"/>
    <col min="3" max="3" width="14.21875" customWidth="1"/>
    <col min="4" max="4" width="11.77734375" customWidth="1"/>
    <col min="5" max="5" width="10.77734375" customWidth="1"/>
    <col min="6" max="6" width="11.21875" customWidth="1"/>
  </cols>
  <sheetData>
    <row r="1" spans="1:13" x14ac:dyDescent="0.3">
      <c r="A1" t="s">
        <v>24</v>
      </c>
    </row>
    <row r="3" spans="1:13" x14ac:dyDescent="0.3">
      <c r="A3" s="15" t="s">
        <v>0</v>
      </c>
    </row>
    <row r="4" spans="1:13" x14ac:dyDescent="0.3">
      <c r="A4" s="13">
        <v>41279</v>
      </c>
    </row>
    <row r="6" spans="1:13" x14ac:dyDescent="0.3">
      <c r="A6" s="1" t="s">
        <v>26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  <c r="H6" s="26"/>
      <c r="I6" s="26"/>
      <c r="J6" s="26"/>
      <c r="K6" s="26"/>
      <c r="L6" s="26"/>
      <c r="M6" s="26"/>
    </row>
    <row r="7" spans="1:13" x14ac:dyDescent="0.3">
      <c r="A7" s="2">
        <v>659455</v>
      </c>
      <c r="B7" s="3">
        <v>41285</v>
      </c>
      <c r="C7" s="2" t="s">
        <v>6</v>
      </c>
      <c r="D7" s="2" t="s">
        <v>16</v>
      </c>
      <c r="E7" s="4">
        <v>39.04</v>
      </c>
      <c r="F7" s="4">
        <v>19.52</v>
      </c>
      <c r="H7" s="12"/>
      <c r="I7" s="12"/>
      <c r="J7" s="12"/>
      <c r="K7" s="12"/>
      <c r="L7" s="12"/>
      <c r="M7" s="12"/>
    </row>
    <row r="8" spans="1:13" x14ac:dyDescent="0.3">
      <c r="A8" s="2">
        <v>659457</v>
      </c>
      <c r="B8" s="3">
        <v>41286</v>
      </c>
      <c r="C8" s="2" t="s">
        <v>6</v>
      </c>
      <c r="D8" s="2" t="s">
        <v>16</v>
      </c>
      <c r="E8" s="4">
        <v>40.26</v>
      </c>
      <c r="F8" s="4">
        <v>21.33</v>
      </c>
      <c r="H8" s="12"/>
      <c r="I8" s="12"/>
      <c r="J8" s="12"/>
      <c r="K8" s="12"/>
      <c r="L8" s="12"/>
      <c r="M8" s="12"/>
    </row>
    <row r="9" spans="1:13" x14ac:dyDescent="0.3">
      <c r="A9" s="2">
        <v>659447</v>
      </c>
      <c r="B9" s="3">
        <v>41279</v>
      </c>
      <c r="C9" s="2" t="s">
        <v>28</v>
      </c>
      <c r="D9" s="2" t="s">
        <v>14</v>
      </c>
      <c r="E9" s="4">
        <v>48.48</v>
      </c>
      <c r="F9" s="4">
        <v>25.2</v>
      </c>
      <c r="H9" s="12"/>
      <c r="I9" s="12"/>
      <c r="J9" s="12"/>
      <c r="K9" s="12"/>
      <c r="L9" s="12"/>
      <c r="M9" s="12"/>
    </row>
    <row r="10" spans="1:13" x14ac:dyDescent="0.3">
      <c r="A10" s="2">
        <v>659456</v>
      </c>
      <c r="B10" s="3">
        <v>41286</v>
      </c>
      <c r="C10" s="2" t="s">
        <v>6</v>
      </c>
      <c r="D10" s="2" t="s">
        <v>16</v>
      </c>
      <c r="E10" s="4">
        <v>51.24</v>
      </c>
      <c r="F10" s="4">
        <v>27.16</v>
      </c>
      <c r="H10" s="12"/>
      <c r="I10" s="12"/>
      <c r="J10" s="12"/>
      <c r="K10" s="12"/>
      <c r="L10" s="12"/>
      <c r="M10" s="12"/>
    </row>
    <row r="11" spans="1:13" x14ac:dyDescent="0.3">
      <c r="A11" s="2">
        <v>659457</v>
      </c>
      <c r="B11" s="3">
        <v>41286</v>
      </c>
      <c r="C11" s="2" t="s">
        <v>28</v>
      </c>
      <c r="D11" s="2" t="s">
        <v>14</v>
      </c>
      <c r="E11" s="4">
        <v>60.6</v>
      </c>
      <c r="F11" s="4">
        <v>28.5</v>
      </c>
      <c r="H11" s="12"/>
      <c r="I11" s="12"/>
      <c r="J11" s="12"/>
      <c r="K11" s="12"/>
      <c r="L11" s="12"/>
      <c r="M11" s="12"/>
    </row>
    <row r="12" spans="1:13" x14ac:dyDescent="0.3">
      <c r="A12" s="2">
        <v>659445</v>
      </c>
      <c r="B12" s="3">
        <v>41279</v>
      </c>
      <c r="C12" s="2" t="s">
        <v>28</v>
      </c>
      <c r="D12" s="2" t="s">
        <v>11</v>
      </c>
      <c r="E12" s="4">
        <v>114</v>
      </c>
      <c r="F12" s="4">
        <v>55.86</v>
      </c>
      <c r="H12" s="12"/>
      <c r="I12" s="12"/>
      <c r="J12" s="12"/>
      <c r="K12" s="12"/>
      <c r="L12" s="12"/>
      <c r="M12" s="12"/>
    </row>
    <row r="13" spans="1:13" x14ac:dyDescent="0.3">
      <c r="A13" s="2">
        <v>659459</v>
      </c>
      <c r="B13" s="3">
        <v>41288</v>
      </c>
      <c r="C13" s="2" t="s">
        <v>6</v>
      </c>
      <c r="D13" s="2" t="s">
        <v>16</v>
      </c>
      <c r="E13" s="4">
        <v>183</v>
      </c>
      <c r="F13" s="4">
        <v>95.2</v>
      </c>
      <c r="H13" s="12"/>
      <c r="I13" s="12"/>
      <c r="J13" s="12"/>
      <c r="K13" s="12"/>
      <c r="L13" s="12"/>
      <c r="M13" s="12"/>
    </row>
    <row r="14" spans="1:13" x14ac:dyDescent="0.3">
      <c r="A14" s="2">
        <v>659451</v>
      </c>
      <c r="B14" s="3">
        <v>41283</v>
      </c>
      <c r="C14" s="2" t="s">
        <v>6</v>
      </c>
      <c r="D14" s="2" t="s">
        <v>7</v>
      </c>
      <c r="E14" s="4">
        <v>203.04</v>
      </c>
      <c r="F14" s="4">
        <v>95.4</v>
      </c>
      <c r="H14" s="12"/>
      <c r="I14" s="12"/>
      <c r="J14" s="12"/>
      <c r="K14" s="12"/>
      <c r="L14" s="12"/>
      <c r="M14" s="12"/>
    </row>
    <row r="15" spans="1:13" x14ac:dyDescent="0.3">
      <c r="A15" s="2">
        <v>659455</v>
      </c>
      <c r="B15" s="3">
        <v>41285</v>
      </c>
      <c r="C15" s="2" t="s">
        <v>27</v>
      </c>
      <c r="D15" s="2" t="s">
        <v>5</v>
      </c>
      <c r="E15" s="4">
        <v>200.6</v>
      </c>
      <c r="F15" s="4">
        <v>106.32</v>
      </c>
      <c r="H15" s="12"/>
      <c r="I15" s="12"/>
      <c r="J15" s="12"/>
      <c r="K15" s="12"/>
      <c r="L15" s="12"/>
      <c r="M15" s="12"/>
    </row>
    <row r="16" spans="1:13" x14ac:dyDescent="0.3">
      <c r="A16" s="2">
        <v>659458</v>
      </c>
      <c r="B16" s="3">
        <v>41287</v>
      </c>
      <c r="C16" s="2" t="s">
        <v>6</v>
      </c>
      <c r="D16" s="2" t="s">
        <v>16</v>
      </c>
      <c r="E16" s="4">
        <v>207.36</v>
      </c>
      <c r="F16" s="4">
        <v>107.82</v>
      </c>
      <c r="H16" s="12"/>
      <c r="I16" s="12"/>
      <c r="J16" s="12"/>
      <c r="K16" s="12"/>
      <c r="L16" s="12"/>
      <c r="M16" s="12"/>
    </row>
    <row r="17" spans="1:13" x14ac:dyDescent="0.3">
      <c r="A17" s="2">
        <v>659455</v>
      </c>
      <c r="B17" s="3">
        <v>41285</v>
      </c>
      <c r="C17" s="2" t="s">
        <v>28</v>
      </c>
      <c r="D17" s="2" t="s">
        <v>11</v>
      </c>
      <c r="E17" s="4">
        <v>219.06</v>
      </c>
      <c r="F17" s="4">
        <v>118.3</v>
      </c>
      <c r="H17" s="12"/>
      <c r="I17" s="12"/>
      <c r="J17" s="12"/>
      <c r="K17" s="12"/>
      <c r="L17" s="12"/>
      <c r="M17" s="12"/>
    </row>
    <row r="18" spans="1:13" x14ac:dyDescent="0.3">
      <c r="A18" s="2">
        <v>659453</v>
      </c>
      <c r="B18" s="3">
        <v>41284</v>
      </c>
      <c r="C18" s="2" t="s">
        <v>6</v>
      </c>
      <c r="D18" s="2" t="s">
        <v>7</v>
      </c>
      <c r="E18" s="4">
        <v>241.28</v>
      </c>
      <c r="F18" s="4">
        <v>132.72</v>
      </c>
      <c r="H18" s="12"/>
      <c r="I18" s="12"/>
      <c r="J18" s="12"/>
      <c r="K18" s="12"/>
      <c r="L18" s="12"/>
      <c r="M18" s="12"/>
    </row>
    <row r="19" spans="1:13" x14ac:dyDescent="0.3">
      <c r="A19" s="2">
        <v>659451</v>
      </c>
      <c r="B19" s="3">
        <v>41283</v>
      </c>
      <c r="C19" s="2" t="s">
        <v>6</v>
      </c>
      <c r="D19" s="2" t="s">
        <v>16</v>
      </c>
      <c r="E19" s="4">
        <v>256.2</v>
      </c>
      <c r="F19" s="4">
        <v>140.9</v>
      </c>
      <c r="H19" s="12"/>
      <c r="I19" s="12"/>
      <c r="J19" s="12"/>
      <c r="K19" s="12"/>
      <c r="L19" s="12"/>
      <c r="M19" s="12"/>
    </row>
    <row r="20" spans="1:13" x14ac:dyDescent="0.3">
      <c r="A20" s="2">
        <v>659455</v>
      </c>
      <c r="B20" s="3">
        <v>41285</v>
      </c>
      <c r="C20" s="2" t="s">
        <v>28</v>
      </c>
      <c r="D20" s="2" t="s">
        <v>11</v>
      </c>
      <c r="E20" s="4">
        <v>368.72</v>
      </c>
      <c r="F20" s="4">
        <v>188.04</v>
      </c>
      <c r="H20" s="12"/>
      <c r="I20" s="12"/>
      <c r="J20" s="12"/>
      <c r="K20" s="12"/>
      <c r="L20" s="12"/>
      <c r="M20" s="12"/>
    </row>
    <row r="21" spans="1:13" x14ac:dyDescent="0.3">
      <c r="A21" s="2">
        <v>659440</v>
      </c>
      <c r="B21" s="3">
        <v>41276</v>
      </c>
      <c r="C21" s="2" t="s">
        <v>27</v>
      </c>
      <c r="D21" s="2" t="s">
        <v>8</v>
      </c>
      <c r="E21" s="4">
        <v>357.5</v>
      </c>
      <c r="F21" s="4">
        <v>193.06</v>
      </c>
      <c r="H21" s="12"/>
      <c r="I21" s="12"/>
      <c r="J21" s="12"/>
      <c r="K21" s="12"/>
      <c r="L21" s="12"/>
      <c r="M21" s="12"/>
    </row>
    <row r="22" spans="1:13" x14ac:dyDescent="0.3">
      <c r="A22" s="2">
        <v>659455</v>
      </c>
      <c r="B22" s="3">
        <v>41285</v>
      </c>
      <c r="C22" s="2" t="s">
        <v>6</v>
      </c>
      <c r="D22" s="2" t="s">
        <v>7</v>
      </c>
      <c r="E22" s="4">
        <v>394.8</v>
      </c>
      <c r="F22" s="4">
        <v>197.4</v>
      </c>
      <c r="H22" s="12"/>
      <c r="I22" s="12"/>
      <c r="J22" s="12"/>
      <c r="K22" s="12"/>
      <c r="L22" s="12"/>
      <c r="M22" s="12"/>
    </row>
    <row r="23" spans="1:13" x14ac:dyDescent="0.3">
      <c r="A23" s="2">
        <v>659440</v>
      </c>
      <c r="B23" s="3">
        <v>41276</v>
      </c>
      <c r="C23" s="2" t="s">
        <v>6</v>
      </c>
      <c r="D23" s="2" t="s">
        <v>7</v>
      </c>
      <c r="E23" s="4">
        <v>451.2</v>
      </c>
      <c r="F23" s="4">
        <v>212.08</v>
      </c>
      <c r="H23" s="12"/>
      <c r="I23" s="12"/>
      <c r="J23" s="12"/>
      <c r="K23" s="12"/>
      <c r="L23" s="12"/>
      <c r="M23" s="12"/>
    </row>
    <row r="24" spans="1:13" x14ac:dyDescent="0.3">
      <c r="A24" s="2">
        <v>659444</v>
      </c>
      <c r="B24" s="3">
        <v>41279</v>
      </c>
      <c r="C24" s="2" t="s">
        <v>27</v>
      </c>
      <c r="D24" s="2" t="s">
        <v>10</v>
      </c>
      <c r="E24" s="4">
        <v>464.96</v>
      </c>
      <c r="F24" s="4">
        <v>237.12</v>
      </c>
      <c r="H24" s="12"/>
      <c r="I24" s="12"/>
      <c r="J24" s="12"/>
      <c r="K24" s="12"/>
      <c r="L24" s="12"/>
      <c r="M24" s="12"/>
    </row>
    <row r="25" spans="1:13" x14ac:dyDescent="0.3">
      <c r="A25" s="2">
        <v>659456</v>
      </c>
      <c r="B25" s="3">
        <v>41286</v>
      </c>
      <c r="C25" s="2" t="s">
        <v>28</v>
      </c>
      <c r="D25" s="2" t="s">
        <v>12</v>
      </c>
      <c r="E25" s="4">
        <v>495</v>
      </c>
      <c r="F25" s="4">
        <v>237.6</v>
      </c>
      <c r="H25" s="12"/>
      <c r="I25" s="12"/>
      <c r="J25" s="12"/>
      <c r="K25" s="12"/>
      <c r="L25" s="12"/>
      <c r="M25" s="12"/>
    </row>
    <row r="26" spans="1:13" x14ac:dyDescent="0.3">
      <c r="A26" s="2">
        <v>659443</v>
      </c>
      <c r="B26" s="3">
        <v>41279</v>
      </c>
      <c r="C26" s="2" t="s">
        <v>27</v>
      </c>
      <c r="D26" s="2" t="s">
        <v>10</v>
      </c>
      <c r="E26" s="4">
        <v>503.1</v>
      </c>
      <c r="F26" s="4">
        <v>251.56</v>
      </c>
      <c r="H26" s="12"/>
      <c r="I26" s="12"/>
      <c r="J26" s="12"/>
      <c r="K26" s="12"/>
      <c r="L26" s="12"/>
      <c r="M26" s="12"/>
    </row>
    <row r="27" spans="1:13" x14ac:dyDescent="0.3">
      <c r="A27" s="2">
        <v>659441</v>
      </c>
      <c r="B27" s="3">
        <v>41277</v>
      </c>
      <c r="C27" s="2" t="s">
        <v>27</v>
      </c>
      <c r="D27" s="2" t="s">
        <v>5</v>
      </c>
      <c r="E27" s="4">
        <v>561.67999999999995</v>
      </c>
      <c r="F27" s="4">
        <v>303.31</v>
      </c>
      <c r="H27" s="12"/>
      <c r="I27" s="12"/>
      <c r="J27" s="12"/>
      <c r="K27" s="12"/>
      <c r="L27" s="12"/>
      <c r="M27" s="12"/>
    </row>
    <row r="28" spans="1:13" x14ac:dyDescent="0.3">
      <c r="A28" s="2">
        <v>659449</v>
      </c>
      <c r="B28" s="3">
        <v>41281</v>
      </c>
      <c r="C28" s="2" t="s">
        <v>27</v>
      </c>
      <c r="D28" s="2" t="s">
        <v>13</v>
      </c>
      <c r="E28" s="4">
        <v>611.41999999999996</v>
      </c>
      <c r="F28" s="4">
        <v>324.06</v>
      </c>
      <c r="H28" s="12"/>
      <c r="I28" s="12"/>
      <c r="J28" s="12"/>
      <c r="K28" s="12"/>
      <c r="L28" s="12"/>
      <c r="M28" s="12"/>
    </row>
    <row r="29" spans="1:13" x14ac:dyDescent="0.3">
      <c r="A29" s="2">
        <v>659455</v>
      </c>
      <c r="B29" s="3">
        <v>41285</v>
      </c>
      <c r="C29" s="2" t="s">
        <v>28</v>
      </c>
      <c r="D29" s="2" t="s">
        <v>11</v>
      </c>
      <c r="E29" s="4">
        <v>670.4</v>
      </c>
      <c r="F29" s="4">
        <v>341.92</v>
      </c>
      <c r="H29" s="12"/>
      <c r="I29" s="12"/>
      <c r="J29" s="12"/>
      <c r="K29" s="12"/>
      <c r="L29" s="12"/>
      <c r="M29" s="12"/>
    </row>
    <row r="30" spans="1:13" x14ac:dyDescent="0.3">
      <c r="A30" s="2">
        <v>659448</v>
      </c>
      <c r="B30" s="3">
        <v>41280</v>
      </c>
      <c r="C30" s="2" t="s">
        <v>28</v>
      </c>
      <c r="D30" s="2" t="s">
        <v>11</v>
      </c>
      <c r="E30" s="4">
        <v>670.4</v>
      </c>
      <c r="F30" s="4">
        <v>355.28</v>
      </c>
      <c r="H30" s="12"/>
      <c r="I30" s="12"/>
      <c r="J30" s="12"/>
      <c r="K30" s="12"/>
      <c r="L30" s="12"/>
      <c r="M30" s="12"/>
    </row>
    <row r="31" spans="1:13" x14ac:dyDescent="0.3">
      <c r="A31" s="2">
        <v>659446</v>
      </c>
      <c r="B31" s="3">
        <v>41279</v>
      </c>
      <c r="C31" s="2" t="s">
        <v>28</v>
      </c>
      <c r="D31" s="2" t="s">
        <v>11</v>
      </c>
      <c r="E31" s="4">
        <v>730.2</v>
      </c>
      <c r="F31" s="4">
        <v>365.1</v>
      </c>
      <c r="H31" s="12"/>
      <c r="I31" s="12"/>
      <c r="J31" s="12"/>
      <c r="K31" s="12"/>
      <c r="L31" s="12"/>
      <c r="M31" s="12"/>
    </row>
    <row r="32" spans="1:13" x14ac:dyDescent="0.3">
      <c r="A32" s="2">
        <v>659446</v>
      </c>
      <c r="B32" s="3">
        <v>41279</v>
      </c>
      <c r="C32" s="2" t="s">
        <v>28</v>
      </c>
      <c r="D32" s="2" t="s">
        <v>12</v>
      </c>
      <c r="E32" s="4">
        <v>1008.72</v>
      </c>
      <c r="F32" s="4">
        <v>504.36</v>
      </c>
      <c r="H32" s="12"/>
      <c r="I32" s="12"/>
      <c r="J32" s="12"/>
      <c r="K32" s="12"/>
      <c r="L32" s="12"/>
      <c r="M32" s="12"/>
    </row>
    <row r="33" spans="1:13" x14ac:dyDescent="0.3">
      <c r="A33" s="2">
        <v>659450</v>
      </c>
      <c r="B33" s="3">
        <v>41282</v>
      </c>
      <c r="C33" s="2" t="s">
        <v>27</v>
      </c>
      <c r="D33" s="2" t="s">
        <v>5</v>
      </c>
      <c r="E33" s="4">
        <v>962.88</v>
      </c>
      <c r="F33" s="4">
        <v>510.32</v>
      </c>
      <c r="H33" s="12"/>
      <c r="I33" s="12"/>
      <c r="J33" s="12"/>
      <c r="K33" s="12"/>
      <c r="L33" s="12"/>
      <c r="M33" s="12"/>
    </row>
    <row r="34" spans="1:13" x14ac:dyDescent="0.3">
      <c r="A34" s="2">
        <v>659456</v>
      </c>
      <c r="B34" s="3">
        <v>41286</v>
      </c>
      <c r="C34" s="2" t="s">
        <v>27</v>
      </c>
      <c r="D34" s="2" t="s">
        <v>13</v>
      </c>
      <c r="E34" s="4">
        <v>1150</v>
      </c>
      <c r="F34" s="4">
        <v>552</v>
      </c>
      <c r="H34" s="12"/>
      <c r="I34" s="12"/>
      <c r="J34" s="12"/>
      <c r="K34" s="12"/>
      <c r="L34" s="12"/>
      <c r="M34" s="12"/>
    </row>
    <row r="35" spans="1:13" x14ac:dyDescent="0.3">
      <c r="A35" s="2">
        <v>659439</v>
      </c>
      <c r="B35" s="3">
        <v>41275</v>
      </c>
      <c r="C35" s="2" t="s">
        <v>27</v>
      </c>
      <c r="D35" s="2" t="s">
        <v>5</v>
      </c>
      <c r="E35" s="4">
        <v>1232.44</v>
      </c>
      <c r="F35" s="4">
        <v>591.58000000000004</v>
      </c>
      <c r="H35" s="12"/>
      <c r="I35" s="12"/>
      <c r="J35" s="12"/>
      <c r="K35" s="12"/>
      <c r="L35" s="12"/>
      <c r="M35" s="12"/>
    </row>
    <row r="36" spans="1:13" x14ac:dyDescent="0.3">
      <c r="A36" s="2">
        <v>659458</v>
      </c>
      <c r="B36" s="3">
        <v>41287</v>
      </c>
      <c r="C36" s="2" t="s">
        <v>6</v>
      </c>
      <c r="D36" s="2" t="s">
        <v>17</v>
      </c>
      <c r="E36" s="4">
        <v>1316.7</v>
      </c>
      <c r="F36" s="4">
        <v>618.84</v>
      </c>
      <c r="H36" s="12"/>
      <c r="I36" s="12"/>
      <c r="J36" s="12"/>
      <c r="K36" s="12"/>
      <c r="L36" s="12"/>
      <c r="M36" s="12"/>
    </row>
    <row r="37" spans="1:13" x14ac:dyDescent="0.3">
      <c r="A37" s="2">
        <v>659452</v>
      </c>
      <c r="B37" s="3">
        <v>41284</v>
      </c>
      <c r="C37" s="2" t="s">
        <v>28</v>
      </c>
      <c r="D37" s="2" t="s">
        <v>14</v>
      </c>
      <c r="E37" s="4">
        <v>1360</v>
      </c>
      <c r="F37" s="4">
        <v>639.20000000000005</v>
      </c>
      <c r="H37" s="12"/>
      <c r="I37" s="12"/>
      <c r="J37" s="12"/>
      <c r="K37" s="12"/>
      <c r="L37" s="12"/>
      <c r="M37" s="12"/>
    </row>
    <row r="38" spans="1:13" x14ac:dyDescent="0.3">
      <c r="A38" s="2">
        <v>659455</v>
      </c>
      <c r="B38" s="3">
        <v>41285</v>
      </c>
      <c r="C38" s="2" t="s">
        <v>28</v>
      </c>
      <c r="D38" s="2" t="s">
        <v>14</v>
      </c>
      <c r="E38" s="4">
        <v>1632</v>
      </c>
      <c r="F38" s="4">
        <v>767.04</v>
      </c>
      <c r="H38" s="12"/>
      <c r="I38" s="12"/>
      <c r="J38" s="12"/>
      <c r="K38" s="12"/>
      <c r="L38" s="12"/>
      <c r="M38" s="12"/>
    </row>
    <row r="39" spans="1:13" x14ac:dyDescent="0.3">
      <c r="A39" s="2">
        <v>659445</v>
      </c>
      <c r="B39" s="3">
        <v>41279</v>
      </c>
      <c r="C39" s="2" t="s">
        <v>27</v>
      </c>
      <c r="D39" s="2" t="s">
        <v>8</v>
      </c>
      <c r="E39" s="4">
        <v>1650</v>
      </c>
      <c r="F39" s="4">
        <v>792</v>
      </c>
      <c r="H39" s="12"/>
      <c r="I39" s="12"/>
      <c r="J39" s="12"/>
      <c r="K39" s="12"/>
      <c r="L39" s="12"/>
      <c r="M39" s="12"/>
    </row>
    <row r="40" spans="1:13" x14ac:dyDescent="0.3">
      <c r="A40" s="2">
        <v>659454</v>
      </c>
      <c r="B40" s="3">
        <v>41285</v>
      </c>
      <c r="C40" s="2" t="s">
        <v>28</v>
      </c>
      <c r="D40" s="2" t="s">
        <v>12</v>
      </c>
      <c r="E40" s="4">
        <v>1672</v>
      </c>
      <c r="F40" s="4">
        <v>819.28</v>
      </c>
      <c r="H40" s="12"/>
      <c r="I40" s="12"/>
      <c r="J40" s="12"/>
      <c r="K40" s="12"/>
      <c r="L40" s="12"/>
      <c r="M40" s="12"/>
    </row>
    <row r="41" spans="1:13" x14ac:dyDescent="0.3">
      <c r="A41" s="2">
        <v>659447</v>
      </c>
      <c r="B41" s="3">
        <v>41279</v>
      </c>
      <c r="C41" s="2" t="s">
        <v>28</v>
      </c>
      <c r="D41" s="2" t="s">
        <v>15</v>
      </c>
      <c r="E41" s="4">
        <v>1664</v>
      </c>
      <c r="F41" s="4">
        <v>881.92</v>
      </c>
      <c r="H41" s="12"/>
      <c r="I41" s="12"/>
      <c r="J41" s="12"/>
      <c r="K41" s="12"/>
      <c r="L41" s="12"/>
      <c r="M41" s="12"/>
    </row>
    <row r="42" spans="1:13" x14ac:dyDescent="0.3">
      <c r="A42" s="2">
        <v>659441</v>
      </c>
      <c r="B42" s="3">
        <v>41277</v>
      </c>
      <c r="C42" s="2" t="s">
        <v>27</v>
      </c>
      <c r="D42" s="2" t="s">
        <v>8</v>
      </c>
      <c r="E42" s="4">
        <v>1980</v>
      </c>
      <c r="F42" s="4">
        <v>990</v>
      </c>
      <c r="H42" s="12"/>
      <c r="I42" s="12"/>
      <c r="J42" s="12"/>
      <c r="K42" s="12"/>
      <c r="L42" s="12"/>
      <c r="M42" s="12"/>
    </row>
    <row r="43" spans="1:13" x14ac:dyDescent="0.3">
      <c r="A43" s="2">
        <v>659440</v>
      </c>
      <c r="B43" s="3">
        <v>41276</v>
      </c>
      <c r="C43" s="2" t="s">
        <v>6</v>
      </c>
      <c r="D43" s="2" t="s">
        <v>9</v>
      </c>
      <c r="E43" s="4">
        <v>1957.6</v>
      </c>
      <c r="F43" s="4">
        <v>1037.55</v>
      </c>
      <c r="H43" s="12"/>
      <c r="I43" s="12"/>
      <c r="J43" s="12"/>
      <c r="K43" s="12"/>
      <c r="L43" s="12"/>
      <c r="M43" s="12"/>
    </row>
    <row r="44" spans="1:13" x14ac:dyDescent="0.3">
      <c r="A44" s="2">
        <v>659446</v>
      </c>
      <c r="B44" s="3">
        <v>41279</v>
      </c>
      <c r="C44" s="2" t="s">
        <v>27</v>
      </c>
      <c r="D44" s="2" t="s">
        <v>5</v>
      </c>
      <c r="E44" s="4">
        <v>2304</v>
      </c>
      <c r="F44" s="4">
        <v>1082.8800000000001</v>
      </c>
      <c r="H44" s="12"/>
      <c r="I44" s="12"/>
      <c r="J44" s="12"/>
      <c r="K44" s="12"/>
      <c r="L44" s="12"/>
      <c r="M44" s="12"/>
    </row>
    <row r="45" spans="1:13" x14ac:dyDescent="0.3">
      <c r="A45" s="2">
        <v>659457</v>
      </c>
      <c r="B45" s="3">
        <v>41286</v>
      </c>
      <c r="C45" s="2" t="s">
        <v>28</v>
      </c>
      <c r="D45" s="2" t="s">
        <v>11</v>
      </c>
      <c r="E45" s="4">
        <v>2394</v>
      </c>
      <c r="F45" s="4">
        <v>1292.76</v>
      </c>
      <c r="H45" s="12"/>
      <c r="I45" s="12"/>
      <c r="J45" s="12"/>
      <c r="K45" s="12"/>
      <c r="L45" s="12"/>
      <c r="M45" s="12"/>
    </row>
    <row r="46" spans="1:13" x14ac:dyDescent="0.3">
      <c r="A46" s="2">
        <v>659446</v>
      </c>
      <c r="B46" s="3">
        <v>41279</v>
      </c>
      <c r="C46" s="2" t="s">
        <v>27</v>
      </c>
      <c r="D46" s="2" t="s">
        <v>5</v>
      </c>
      <c r="E46" s="4">
        <v>2744.98</v>
      </c>
      <c r="F46" s="4">
        <v>1317.61</v>
      </c>
      <c r="H46" s="12"/>
      <c r="I46" s="12"/>
      <c r="J46" s="12"/>
      <c r="K46" s="12"/>
      <c r="L46" s="12"/>
      <c r="M46" s="12"/>
    </row>
    <row r="47" spans="1:13" x14ac:dyDescent="0.3">
      <c r="A47" s="2">
        <v>659455</v>
      </c>
      <c r="B47" s="3">
        <v>41285</v>
      </c>
      <c r="C47" s="2" t="s">
        <v>27</v>
      </c>
      <c r="D47" s="2" t="s">
        <v>10</v>
      </c>
      <c r="E47" s="4">
        <v>2631.6</v>
      </c>
      <c r="F47" s="4">
        <v>1421.04</v>
      </c>
      <c r="H47" s="12"/>
      <c r="I47" s="12"/>
      <c r="J47" s="12"/>
      <c r="K47" s="12"/>
      <c r="L47" s="12"/>
      <c r="M47" s="12"/>
    </row>
    <row r="48" spans="1:13" x14ac:dyDescent="0.3">
      <c r="A48" s="2">
        <v>659442</v>
      </c>
      <c r="B48" s="3">
        <v>41278</v>
      </c>
      <c r="C48" s="2" t="s">
        <v>27</v>
      </c>
      <c r="D48" s="2" t="s">
        <v>5</v>
      </c>
      <c r="E48" s="4">
        <v>2772</v>
      </c>
      <c r="F48" s="4">
        <v>1469.16</v>
      </c>
      <c r="H48" s="12"/>
      <c r="I48" s="12"/>
      <c r="J48" s="12"/>
      <c r="K48" s="12"/>
      <c r="L48" s="12"/>
      <c r="M48" s="12"/>
    </row>
    <row r="49" spans="1:13" x14ac:dyDescent="0.3">
      <c r="A49" s="2">
        <v>659446</v>
      </c>
      <c r="B49" s="3">
        <v>41279</v>
      </c>
      <c r="C49" s="2" t="s">
        <v>27</v>
      </c>
      <c r="D49" s="2" t="s">
        <v>5</v>
      </c>
      <c r="E49" s="4">
        <v>3361.2</v>
      </c>
      <c r="F49" s="4">
        <v>1579.75</v>
      </c>
      <c r="H49" s="12"/>
      <c r="I49" s="12"/>
      <c r="J49" s="12"/>
      <c r="K49" s="12"/>
      <c r="L49" s="12"/>
      <c r="M49" s="12"/>
    </row>
    <row r="50" spans="1:13" x14ac:dyDescent="0.3">
      <c r="A50" s="2">
        <v>659446</v>
      </c>
      <c r="B50" s="3">
        <v>41279</v>
      </c>
      <c r="C50" s="2" t="s">
        <v>27</v>
      </c>
      <c r="D50" s="2" t="s">
        <v>13</v>
      </c>
      <c r="E50" s="4">
        <v>3174</v>
      </c>
      <c r="F50" s="4">
        <v>1713.96</v>
      </c>
      <c r="H50" s="12"/>
      <c r="I50" s="12"/>
      <c r="J50" s="12"/>
      <c r="K50" s="12"/>
      <c r="L50" s="12"/>
      <c r="M50" s="12"/>
    </row>
    <row r="51" spans="1:13" x14ac:dyDescent="0.3">
      <c r="A51" s="2">
        <v>659444</v>
      </c>
      <c r="B51" s="3">
        <v>41279</v>
      </c>
      <c r="C51" s="2" t="s">
        <v>6</v>
      </c>
      <c r="D51" s="2" t="s">
        <v>9</v>
      </c>
      <c r="E51" s="4">
        <v>3938.4</v>
      </c>
      <c r="F51" s="4">
        <v>1890.4</v>
      </c>
      <c r="H51" s="12"/>
      <c r="I51" s="12"/>
      <c r="J51" s="12"/>
      <c r="K51" s="12"/>
      <c r="L51" s="12"/>
      <c r="M51" s="12"/>
    </row>
    <row r="52" spans="1:13" x14ac:dyDescent="0.3">
      <c r="A52" s="2">
        <v>659453</v>
      </c>
      <c r="B52" s="3">
        <v>41284</v>
      </c>
      <c r="C52" s="2" t="s">
        <v>6</v>
      </c>
      <c r="D52" s="2" t="s">
        <v>17</v>
      </c>
      <c r="E52" s="4">
        <v>4309.2</v>
      </c>
      <c r="F52" s="4">
        <v>2326.9499999999998</v>
      </c>
      <c r="H52" s="12"/>
      <c r="I52" s="12"/>
      <c r="J52" s="12"/>
      <c r="K52" s="12"/>
      <c r="L52" s="12"/>
      <c r="M52" s="12"/>
    </row>
    <row r="53" spans="1:13" x14ac:dyDescent="0.3">
      <c r="A53" s="2">
        <v>659443</v>
      </c>
      <c r="B53" s="3">
        <v>41279</v>
      </c>
      <c r="C53" s="2" t="s">
        <v>27</v>
      </c>
      <c r="D53" s="2" t="s">
        <v>5</v>
      </c>
      <c r="E53" s="4">
        <v>4536</v>
      </c>
      <c r="F53" s="4">
        <v>2358.7199999999998</v>
      </c>
      <c r="H53" s="12"/>
      <c r="I53" s="12"/>
      <c r="J53" s="12"/>
      <c r="K53" s="12"/>
      <c r="L53" s="12"/>
      <c r="M53" s="12"/>
    </row>
  </sheetData>
  <sheetProtection algorithmName="SHA-512" hashValue="n41VD1XpCE5WYTORCqQqBBm+fJtiSbtfH2r3WTO263wyve4MLGpy3Eit0+pYwvCrG0L6xPc3YDGp1bciM9f9bA==" saltValue="CTxB7RKaZ8lzYzk2v0lJnQ==" spinCount="100000" sheet="1" objects="1" scenarios="1" selectLockedCells="1" selectUnlockedCells="1"/>
  <sortState xmlns:xlrd2="http://schemas.microsoft.com/office/spreadsheetml/2017/richdata2" ref="A7:F53">
    <sortCondition ref="F7"/>
  </sortState>
  <conditionalFormatting sqref="A7:F53">
    <cfRule type="expression" dxfId="12" priority="1">
      <formula>$B7=$A$4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FF59C-D95C-4393-9FEF-B7C36A2866A4}">
  <sheetPr>
    <tabColor rgb="FF0000FF"/>
  </sheetPr>
  <dimension ref="A1:E10"/>
  <sheetViews>
    <sheetView workbookViewId="0">
      <selection activeCell="C22" sqref="C22"/>
    </sheetView>
  </sheetViews>
  <sheetFormatPr defaultRowHeight="14.4" x14ac:dyDescent="0.3"/>
  <cols>
    <col min="1" max="1" width="16.77734375" customWidth="1"/>
    <col min="2" max="2" width="22.77734375" customWidth="1"/>
    <col min="3" max="3" width="15.5546875" customWidth="1"/>
  </cols>
  <sheetData>
    <row r="1" spans="1:5" x14ac:dyDescent="0.3">
      <c r="A1" s="70" t="s">
        <v>98</v>
      </c>
      <c r="B1" s="70"/>
      <c r="C1" s="70"/>
      <c r="D1" s="70"/>
    </row>
    <row r="3" spans="1:5" x14ac:dyDescent="0.3">
      <c r="A3" s="9" t="s">
        <v>51</v>
      </c>
      <c r="B3" s="9" t="s">
        <v>53</v>
      </c>
      <c r="C3" s="9" t="s">
        <v>50</v>
      </c>
    </row>
    <row r="4" spans="1:5" x14ac:dyDescent="0.3">
      <c r="A4" s="7" t="s">
        <v>52</v>
      </c>
      <c r="B4" s="10">
        <v>15000</v>
      </c>
      <c r="C4" s="10">
        <v>15000</v>
      </c>
      <c r="E4" s="7" t="b">
        <f>$C4&gt;$B4</f>
        <v>0</v>
      </c>
    </row>
    <row r="5" spans="1:5" x14ac:dyDescent="0.3">
      <c r="A5" s="7" t="s">
        <v>54</v>
      </c>
      <c r="B5" s="10">
        <v>195500</v>
      </c>
      <c r="C5" s="10">
        <v>215809.25</v>
      </c>
      <c r="E5" s="7" t="b">
        <f t="shared" ref="E5:E10" si="0">$C5&gt;$B5</f>
        <v>1</v>
      </c>
    </row>
    <row r="6" spans="1:5" x14ac:dyDescent="0.3">
      <c r="A6" s="7" t="s">
        <v>55</v>
      </c>
      <c r="B6" s="10">
        <v>59800</v>
      </c>
      <c r="C6" s="10">
        <v>59852.11</v>
      </c>
      <c r="E6" s="7" t="b">
        <f t="shared" si="0"/>
        <v>1</v>
      </c>
    </row>
    <row r="7" spans="1:5" x14ac:dyDescent="0.3">
      <c r="A7" s="7" t="s">
        <v>56</v>
      </c>
      <c r="B7" s="10">
        <v>356500</v>
      </c>
      <c r="C7" s="10">
        <v>345089.25</v>
      </c>
      <c r="E7" s="7" t="b">
        <f t="shared" si="0"/>
        <v>0</v>
      </c>
    </row>
    <row r="8" spans="1:5" x14ac:dyDescent="0.3">
      <c r="A8" s="7" t="s">
        <v>57</v>
      </c>
      <c r="B8" s="10">
        <v>159000</v>
      </c>
      <c r="C8" s="10">
        <v>149087.25</v>
      </c>
      <c r="E8" s="7" t="b">
        <f t="shared" si="0"/>
        <v>0</v>
      </c>
    </row>
    <row r="9" spans="1:5" x14ac:dyDescent="0.3">
      <c r="A9" s="7" t="s">
        <v>58</v>
      </c>
      <c r="B9" s="10">
        <v>105000</v>
      </c>
      <c r="C9" s="10">
        <v>105000</v>
      </c>
      <c r="E9" s="7" t="b">
        <f t="shared" si="0"/>
        <v>0</v>
      </c>
    </row>
    <row r="10" spans="1:5" x14ac:dyDescent="0.3">
      <c r="A10" s="7" t="s">
        <v>59</v>
      </c>
      <c r="B10" s="10">
        <v>7500</v>
      </c>
      <c r="C10" s="10">
        <v>65809.25</v>
      </c>
      <c r="E10" s="7" t="b">
        <f t="shared" si="0"/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FF0000"/>
  </sheetPr>
  <dimension ref="A1:E10"/>
  <sheetViews>
    <sheetView zoomScale="130" zoomScaleNormal="130" workbookViewId="0">
      <selection activeCell="C17" sqref="A1:XFD1048576"/>
    </sheetView>
  </sheetViews>
  <sheetFormatPr defaultRowHeight="14.4" x14ac:dyDescent="0.3"/>
  <cols>
    <col min="1" max="1" width="16.77734375" customWidth="1"/>
    <col min="2" max="2" width="22.77734375" customWidth="1"/>
    <col min="3" max="3" width="15.5546875" customWidth="1"/>
  </cols>
  <sheetData>
    <row r="1" spans="1:5" x14ac:dyDescent="0.3">
      <c r="A1" t="s">
        <v>98</v>
      </c>
    </row>
    <row r="3" spans="1:5" x14ac:dyDescent="0.3">
      <c r="A3" s="9" t="s">
        <v>51</v>
      </c>
      <c r="B3" s="9" t="s">
        <v>53</v>
      </c>
      <c r="C3" s="9" t="s">
        <v>50</v>
      </c>
    </row>
    <row r="4" spans="1:5" x14ac:dyDescent="0.3">
      <c r="A4" s="7" t="s">
        <v>52</v>
      </c>
      <c r="B4" s="10">
        <v>15000</v>
      </c>
      <c r="C4" s="10">
        <v>15000</v>
      </c>
      <c r="E4" s="7" t="b">
        <f>$C4&gt;$B4</f>
        <v>0</v>
      </c>
    </row>
    <row r="5" spans="1:5" x14ac:dyDescent="0.3">
      <c r="A5" s="7" t="s">
        <v>54</v>
      </c>
      <c r="B5" s="10">
        <v>195500</v>
      </c>
      <c r="C5" s="10">
        <v>215809.25</v>
      </c>
      <c r="E5" s="7" t="b">
        <f t="shared" ref="E5:E10" si="0">$C5&gt;$B5</f>
        <v>1</v>
      </c>
    </row>
    <row r="6" spans="1:5" x14ac:dyDescent="0.3">
      <c r="A6" s="7" t="s">
        <v>55</v>
      </c>
      <c r="B6" s="10">
        <v>59800</v>
      </c>
      <c r="C6" s="10">
        <v>59852.11</v>
      </c>
      <c r="E6" s="7" t="b">
        <f t="shared" si="0"/>
        <v>1</v>
      </c>
    </row>
    <row r="7" spans="1:5" x14ac:dyDescent="0.3">
      <c r="A7" s="7" t="s">
        <v>56</v>
      </c>
      <c r="B7" s="10">
        <v>356500</v>
      </c>
      <c r="C7" s="10">
        <v>345089.25</v>
      </c>
      <c r="E7" s="7" t="b">
        <f t="shared" si="0"/>
        <v>0</v>
      </c>
    </row>
    <row r="8" spans="1:5" x14ac:dyDescent="0.3">
      <c r="A8" s="7" t="s">
        <v>57</v>
      </c>
      <c r="B8" s="10">
        <v>159000</v>
      </c>
      <c r="C8" s="10">
        <v>149087.25</v>
      </c>
      <c r="E8" s="7" t="b">
        <f t="shared" si="0"/>
        <v>0</v>
      </c>
    </row>
    <row r="9" spans="1:5" x14ac:dyDescent="0.3">
      <c r="A9" s="7" t="s">
        <v>58</v>
      </c>
      <c r="B9" s="10">
        <v>105000</v>
      </c>
      <c r="C9" s="10">
        <v>105000</v>
      </c>
      <c r="E9" s="7" t="b">
        <f t="shared" si="0"/>
        <v>0</v>
      </c>
    </row>
    <row r="10" spans="1:5" x14ac:dyDescent="0.3">
      <c r="A10" s="7" t="s">
        <v>59</v>
      </c>
      <c r="B10" s="10">
        <v>7500</v>
      </c>
      <c r="C10" s="10">
        <v>65809.25</v>
      </c>
      <c r="E10" s="7" t="b">
        <f t="shared" si="0"/>
        <v>1</v>
      </c>
    </row>
  </sheetData>
  <sheetProtection algorithmName="SHA-512" hashValue="DTbWF0b7RR6qqK2U5bFr7yPGu1J7/RIMvlQVq6kzbSzdRVmaO5oAjvBwPGVWKi9GDVy1qnK6l2dqB9+ITLV11A==" saltValue="JR8RYFFmPSmEoDEjCZdT5A==" spinCount="100000" sheet="1" objects="1" scenarios="1" selectLockedCells="1" selectUnlockedCells="1"/>
  <conditionalFormatting sqref="A4:C10">
    <cfRule type="expression" dxfId="11" priority="1">
      <formula>$C4&gt;$B4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935A-8DC4-489F-9232-F97F6763274B}">
  <sheetPr>
    <tabColor rgb="FF0000FF"/>
  </sheetPr>
  <dimension ref="A1:F16"/>
  <sheetViews>
    <sheetView workbookViewId="0">
      <selection activeCell="A8" sqref="A8"/>
    </sheetView>
  </sheetViews>
  <sheetFormatPr defaultRowHeight="14.4" x14ac:dyDescent="0.3"/>
  <cols>
    <col min="1" max="1" width="16.77734375" customWidth="1"/>
    <col min="2" max="2" width="22.77734375" customWidth="1"/>
    <col min="3" max="3" width="15.5546875" customWidth="1"/>
  </cols>
  <sheetData>
    <row r="1" spans="1:6" x14ac:dyDescent="0.3">
      <c r="A1" t="s">
        <v>22</v>
      </c>
    </row>
    <row r="2" spans="1:6" x14ac:dyDescent="0.3">
      <c r="A2" s="70" t="s">
        <v>99</v>
      </c>
      <c r="B2" s="70"/>
      <c r="C2" s="70"/>
    </row>
    <row r="3" spans="1:6" x14ac:dyDescent="0.3">
      <c r="A3" s="14" t="s">
        <v>69</v>
      </c>
      <c r="B3" s="7" t="s">
        <v>67</v>
      </c>
    </row>
    <row r="5" spans="1:6" x14ac:dyDescent="0.3">
      <c r="A5" s="8" t="s">
        <v>63</v>
      </c>
      <c r="B5" s="8" t="s">
        <v>64</v>
      </c>
      <c r="C5" s="8" t="s">
        <v>65</v>
      </c>
      <c r="D5" s="8" t="s">
        <v>66</v>
      </c>
      <c r="E5" s="8" t="s">
        <v>67</v>
      </c>
      <c r="F5" s="8" t="s">
        <v>68</v>
      </c>
    </row>
    <row r="6" spans="1:6" x14ac:dyDescent="0.3">
      <c r="A6" s="7">
        <v>244</v>
      </c>
      <c r="B6" s="7">
        <v>605</v>
      </c>
      <c r="C6" s="7">
        <v>596</v>
      </c>
      <c r="D6" s="7">
        <v>116</v>
      </c>
      <c r="E6" s="7">
        <v>970</v>
      </c>
      <c r="F6" s="7">
        <v>170</v>
      </c>
    </row>
    <row r="7" spans="1:6" x14ac:dyDescent="0.3">
      <c r="A7" s="7">
        <v>589</v>
      </c>
      <c r="B7" s="7">
        <v>385</v>
      </c>
      <c r="C7" s="7">
        <v>959</v>
      </c>
      <c r="D7" s="7">
        <v>778</v>
      </c>
      <c r="E7" s="7">
        <v>1067</v>
      </c>
      <c r="F7" s="7">
        <v>419</v>
      </c>
    </row>
    <row r="8" spans="1:6" x14ac:dyDescent="0.3">
      <c r="A8" s="7">
        <v>565</v>
      </c>
      <c r="B8" s="7">
        <v>929</v>
      </c>
      <c r="C8" s="7">
        <v>685</v>
      </c>
      <c r="D8" s="7">
        <v>606</v>
      </c>
      <c r="E8" s="7">
        <v>497</v>
      </c>
      <c r="F8" s="7">
        <v>591</v>
      </c>
    </row>
    <row r="9" spans="1:6" x14ac:dyDescent="0.3">
      <c r="A9" s="7">
        <v>704</v>
      </c>
      <c r="B9" s="7">
        <v>355</v>
      </c>
      <c r="C9" s="7">
        <v>1114</v>
      </c>
      <c r="D9" s="7">
        <v>686</v>
      </c>
      <c r="E9" s="7">
        <v>678</v>
      </c>
      <c r="F9" s="7">
        <v>1121</v>
      </c>
    </row>
    <row r="10" spans="1:6" x14ac:dyDescent="0.3">
      <c r="A10" s="7">
        <v>1118</v>
      </c>
      <c r="B10" s="7">
        <v>1023</v>
      </c>
      <c r="C10" s="7">
        <v>733</v>
      </c>
      <c r="D10" s="7">
        <v>998</v>
      </c>
      <c r="E10" s="7">
        <v>174</v>
      </c>
      <c r="F10" s="7">
        <v>123</v>
      </c>
    </row>
    <row r="11" spans="1:6" x14ac:dyDescent="0.3">
      <c r="A11" s="7">
        <v>1045</v>
      </c>
      <c r="B11" s="7">
        <v>1162</v>
      </c>
      <c r="C11" s="7">
        <v>819</v>
      </c>
      <c r="D11" s="7">
        <v>877</v>
      </c>
      <c r="E11" s="7">
        <v>945</v>
      </c>
      <c r="F11" s="7">
        <v>1106</v>
      </c>
    </row>
    <row r="12" spans="1:6" x14ac:dyDescent="0.3">
      <c r="A12" s="7">
        <v>681</v>
      </c>
      <c r="B12" s="7">
        <v>121</v>
      </c>
      <c r="C12" s="7">
        <v>652</v>
      </c>
      <c r="D12" s="7">
        <v>993</v>
      </c>
      <c r="E12" s="7">
        <v>214</v>
      </c>
      <c r="F12" s="7">
        <v>448</v>
      </c>
    </row>
    <row r="13" spans="1:6" x14ac:dyDescent="0.3">
      <c r="A13" s="7">
        <v>666</v>
      </c>
      <c r="B13" s="7">
        <v>627</v>
      </c>
      <c r="C13" s="7">
        <v>1188</v>
      </c>
      <c r="D13" s="7">
        <v>817</v>
      </c>
      <c r="E13" s="7">
        <v>530</v>
      </c>
      <c r="F13" s="7">
        <v>344</v>
      </c>
    </row>
    <row r="14" spans="1:6" x14ac:dyDescent="0.3">
      <c r="A14" s="7">
        <v>1030</v>
      </c>
      <c r="B14" s="7">
        <v>121</v>
      </c>
      <c r="C14" s="7">
        <v>384</v>
      </c>
      <c r="D14" s="7">
        <v>965</v>
      </c>
      <c r="E14" s="7">
        <v>734</v>
      </c>
      <c r="F14" s="7">
        <v>1188</v>
      </c>
    </row>
    <row r="15" spans="1:6" x14ac:dyDescent="0.3">
      <c r="A15" s="7">
        <v>645</v>
      </c>
      <c r="B15" s="7">
        <v>773</v>
      </c>
      <c r="C15" s="7">
        <v>115</v>
      </c>
      <c r="D15" s="7">
        <v>362</v>
      </c>
      <c r="E15" s="7">
        <v>804</v>
      </c>
      <c r="F15" s="7">
        <v>730</v>
      </c>
    </row>
    <row r="16" spans="1:6" x14ac:dyDescent="0.3">
      <c r="A16" s="7">
        <v>697</v>
      </c>
      <c r="B16" s="7">
        <v>300</v>
      </c>
      <c r="C16" s="7">
        <v>866</v>
      </c>
      <c r="D16" s="7">
        <v>377</v>
      </c>
      <c r="E16" s="7">
        <v>1184</v>
      </c>
      <c r="F16" s="7">
        <v>789</v>
      </c>
    </row>
  </sheetData>
  <dataValidations count="1">
    <dataValidation type="list" allowBlank="1" showInputMessage="1" showErrorMessage="1" sqref="B3" xr:uid="{CE6E94F0-A551-4BD4-A4F4-4BAD338448F8}">
      <formula1>$A$5:$F$5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F16"/>
  <sheetViews>
    <sheetView zoomScale="85" zoomScaleNormal="85" workbookViewId="0">
      <selection activeCell="E25" sqref="E25"/>
    </sheetView>
  </sheetViews>
  <sheetFormatPr defaultRowHeight="14.4" x14ac:dyDescent="0.3"/>
  <cols>
    <col min="1" max="1" width="16.77734375" customWidth="1"/>
    <col min="2" max="2" width="22.77734375" customWidth="1"/>
    <col min="3" max="3" width="15.5546875" customWidth="1"/>
  </cols>
  <sheetData>
    <row r="1" spans="1:6" x14ac:dyDescent="0.3">
      <c r="A1" t="s">
        <v>22</v>
      </c>
    </row>
    <row r="2" spans="1:6" x14ac:dyDescent="0.3">
      <c r="A2" s="70" t="s">
        <v>99</v>
      </c>
      <c r="B2" s="70"/>
      <c r="C2" s="70"/>
    </row>
    <row r="3" spans="1:6" x14ac:dyDescent="0.3">
      <c r="A3" s="14" t="s">
        <v>69</v>
      </c>
      <c r="B3" s="7" t="s">
        <v>67</v>
      </c>
    </row>
    <row r="5" spans="1:6" x14ac:dyDescent="0.3">
      <c r="A5" s="8" t="s">
        <v>63</v>
      </c>
      <c r="B5" s="8" t="s">
        <v>64</v>
      </c>
      <c r="C5" s="8" t="s">
        <v>65</v>
      </c>
      <c r="D5" s="8" t="s">
        <v>66</v>
      </c>
      <c r="E5" s="8" t="s">
        <v>67</v>
      </c>
      <c r="F5" s="8" t="s">
        <v>68</v>
      </c>
    </row>
    <row r="6" spans="1:6" x14ac:dyDescent="0.3">
      <c r="A6" s="7">
        <v>244</v>
      </c>
      <c r="B6" s="7">
        <v>605</v>
      </c>
      <c r="C6" s="7">
        <v>596</v>
      </c>
      <c r="D6" s="7">
        <v>116</v>
      </c>
      <c r="E6" s="7">
        <v>970</v>
      </c>
      <c r="F6" s="7">
        <v>170</v>
      </c>
    </row>
    <row r="7" spans="1:6" x14ac:dyDescent="0.3">
      <c r="A7" s="7">
        <v>589</v>
      </c>
      <c r="B7" s="7">
        <v>385</v>
      </c>
      <c r="C7" s="7">
        <v>959</v>
      </c>
      <c r="D7" s="7">
        <v>778</v>
      </c>
      <c r="E7" s="7">
        <v>1067</v>
      </c>
      <c r="F7" s="7">
        <v>419</v>
      </c>
    </row>
    <row r="8" spans="1:6" x14ac:dyDescent="0.3">
      <c r="A8" s="7">
        <v>565</v>
      </c>
      <c r="B8" s="7">
        <v>929</v>
      </c>
      <c r="C8" s="7">
        <v>685</v>
      </c>
      <c r="D8" s="7">
        <v>606</v>
      </c>
      <c r="E8" s="7">
        <v>497</v>
      </c>
      <c r="F8" s="7">
        <v>591</v>
      </c>
    </row>
    <row r="9" spans="1:6" x14ac:dyDescent="0.3">
      <c r="A9" s="7">
        <v>704</v>
      </c>
      <c r="B9" s="7">
        <v>355</v>
      </c>
      <c r="C9" s="7">
        <v>1114</v>
      </c>
      <c r="D9" s="7">
        <v>686</v>
      </c>
      <c r="E9" s="7">
        <v>678</v>
      </c>
      <c r="F9" s="7">
        <v>1121</v>
      </c>
    </row>
    <row r="10" spans="1:6" x14ac:dyDescent="0.3">
      <c r="A10" s="7">
        <v>1118</v>
      </c>
      <c r="B10" s="7">
        <v>1023</v>
      </c>
      <c r="C10" s="7">
        <v>733</v>
      </c>
      <c r="D10" s="7">
        <v>998</v>
      </c>
      <c r="E10" s="7">
        <v>174</v>
      </c>
      <c r="F10" s="7">
        <v>123</v>
      </c>
    </row>
    <row r="11" spans="1:6" x14ac:dyDescent="0.3">
      <c r="A11" s="7">
        <v>1045</v>
      </c>
      <c r="B11" s="7">
        <v>1162</v>
      </c>
      <c r="C11" s="7">
        <v>819</v>
      </c>
      <c r="D11" s="7">
        <v>877</v>
      </c>
      <c r="E11" s="7">
        <v>945</v>
      </c>
      <c r="F11" s="7">
        <v>1106</v>
      </c>
    </row>
    <row r="12" spans="1:6" x14ac:dyDescent="0.3">
      <c r="A12" s="7">
        <v>681</v>
      </c>
      <c r="B12" s="7">
        <v>121</v>
      </c>
      <c r="C12" s="7">
        <v>652</v>
      </c>
      <c r="D12" s="7">
        <v>993</v>
      </c>
      <c r="E12" s="7">
        <v>214</v>
      </c>
      <c r="F12" s="7">
        <v>448</v>
      </c>
    </row>
    <row r="13" spans="1:6" x14ac:dyDescent="0.3">
      <c r="A13" s="7">
        <v>666</v>
      </c>
      <c r="B13" s="7">
        <v>627</v>
      </c>
      <c r="C13" s="7">
        <v>1188</v>
      </c>
      <c r="D13" s="7">
        <v>817</v>
      </c>
      <c r="E13" s="7">
        <v>530</v>
      </c>
      <c r="F13" s="7">
        <v>344</v>
      </c>
    </row>
    <row r="14" spans="1:6" x14ac:dyDescent="0.3">
      <c r="A14" s="7">
        <v>1030</v>
      </c>
      <c r="B14" s="7">
        <v>121</v>
      </c>
      <c r="C14" s="7">
        <v>384</v>
      </c>
      <c r="D14" s="7">
        <v>965</v>
      </c>
      <c r="E14" s="7">
        <v>734</v>
      </c>
      <c r="F14" s="7">
        <v>1188</v>
      </c>
    </row>
    <row r="15" spans="1:6" x14ac:dyDescent="0.3">
      <c r="A15" s="7">
        <v>645</v>
      </c>
      <c r="B15" s="7">
        <v>773</v>
      </c>
      <c r="C15" s="7">
        <v>115</v>
      </c>
      <c r="D15" s="7">
        <v>362</v>
      </c>
      <c r="E15" s="7">
        <v>804</v>
      </c>
      <c r="F15" s="7">
        <v>730</v>
      </c>
    </row>
    <row r="16" spans="1:6" x14ac:dyDescent="0.3">
      <c r="A16" s="7">
        <v>697</v>
      </c>
      <c r="B16" s="7">
        <v>300</v>
      </c>
      <c r="C16" s="7">
        <v>866</v>
      </c>
      <c r="D16" s="7">
        <v>377</v>
      </c>
      <c r="E16" s="7">
        <v>1184</v>
      </c>
      <c r="F16" s="7">
        <v>789</v>
      </c>
    </row>
  </sheetData>
  <sheetProtection algorithmName="SHA-512" hashValue="XESqEZOju7v+4IHwJRTjVbVdRgk3rokCqMjp2NF6wSD3M4zIYgp2oJVQX1dwstcyzcrnGuw+gn7b4F03xM4lwQ==" saltValue="Ji0wgnIFydWCxUJtGI053w==" spinCount="100000" sheet="1" objects="1" scenarios="1" selectLockedCells="1" selectUnlockedCells="1"/>
  <conditionalFormatting sqref="A6:F16">
    <cfRule type="aboveAverage" dxfId="10" priority="1" aboveAverage="0"/>
    <cfRule type="expression" dxfId="9" priority="2">
      <formula>A$5=$B$3</formula>
    </cfRule>
  </conditionalFormatting>
  <dataValidations count="1">
    <dataValidation type="list" allowBlank="1" showInputMessage="1" showErrorMessage="1" sqref="B3" xr:uid="{00000000-0002-0000-1600-000000000000}">
      <formula1>$A$5:$F$5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A978C-E646-4B38-A7C9-DA06387A276B}">
  <sheetPr>
    <tabColor rgb="FF0000FF"/>
  </sheetPr>
  <dimension ref="A3:K20"/>
  <sheetViews>
    <sheetView workbookViewId="0">
      <selection activeCell="D5" sqref="D5"/>
    </sheetView>
  </sheetViews>
  <sheetFormatPr defaultRowHeight="14.4" x14ac:dyDescent="0.3"/>
  <cols>
    <col min="1" max="1" width="13.21875" customWidth="1"/>
    <col min="2" max="2" width="11.109375" bestFit="1" customWidth="1"/>
    <col min="10" max="10" width="10.21875" bestFit="1" customWidth="1"/>
  </cols>
  <sheetData>
    <row r="3" spans="1:11" ht="18" x14ac:dyDescent="0.35">
      <c r="A3" s="120" t="s">
        <v>107</v>
      </c>
      <c r="B3" s="120"/>
      <c r="C3" s="120"/>
      <c r="D3" s="120"/>
      <c r="E3" s="120"/>
    </row>
    <row r="8" spans="1:11" ht="18" x14ac:dyDescent="0.35">
      <c r="J8" s="79" t="s">
        <v>105</v>
      </c>
      <c r="K8" s="75" t="s">
        <v>64</v>
      </c>
    </row>
    <row r="9" spans="1:11" ht="18" x14ac:dyDescent="0.35">
      <c r="B9" s="74"/>
      <c r="C9" s="76" t="s">
        <v>63</v>
      </c>
      <c r="D9" s="76" t="s">
        <v>64</v>
      </c>
      <c r="E9" s="76" t="s">
        <v>65</v>
      </c>
      <c r="F9" s="76" t="s">
        <v>66</v>
      </c>
      <c r="G9" s="76" t="s">
        <v>67</v>
      </c>
      <c r="H9" s="76" t="s">
        <v>68</v>
      </c>
      <c r="J9" s="80" t="s">
        <v>106</v>
      </c>
      <c r="K9" s="75" t="s">
        <v>103</v>
      </c>
    </row>
    <row r="10" spans="1:11" ht="18" x14ac:dyDescent="0.35">
      <c r="B10" s="78" t="s">
        <v>100</v>
      </c>
      <c r="C10" s="77">
        <v>835</v>
      </c>
      <c r="D10" s="77">
        <v>614</v>
      </c>
      <c r="E10" s="77">
        <v>564</v>
      </c>
      <c r="F10" s="77">
        <v>311</v>
      </c>
      <c r="G10" s="77">
        <v>328</v>
      </c>
      <c r="H10" s="77">
        <v>761</v>
      </c>
    </row>
    <row r="11" spans="1:11" ht="18" x14ac:dyDescent="0.35">
      <c r="B11" s="78" t="s">
        <v>101</v>
      </c>
      <c r="C11" s="77">
        <v>947</v>
      </c>
      <c r="D11" s="77">
        <v>370</v>
      </c>
      <c r="E11" s="77">
        <v>739</v>
      </c>
      <c r="F11" s="77">
        <v>915</v>
      </c>
      <c r="G11" s="77">
        <v>758</v>
      </c>
      <c r="H11" s="77">
        <v>448</v>
      </c>
    </row>
    <row r="12" spans="1:11" ht="18" x14ac:dyDescent="0.35">
      <c r="B12" s="78" t="s">
        <v>102</v>
      </c>
      <c r="C12" s="77">
        <v>956</v>
      </c>
      <c r="D12" s="77">
        <v>317</v>
      </c>
      <c r="E12" s="77">
        <v>963</v>
      </c>
      <c r="F12" s="77">
        <v>659</v>
      </c>
      <c r="G12" s="77">
        <v>788</v>
      </c>
      <c r="H12" s="77">
        <v>403</v>
      </c>
    </row>
    <row r="13" spans="1:11" ht="18" x14ac:dyDescent="0.35">
      <c r="B13" s="78" t="s">
        <v>100</v>
      </c>
      <c r="C13" s="77">
        <v>415</v>
      </c>
      <c r="D13" s="77">
        <v>231</v>
      </c>
      <c r="E13" s="77">
        <v>356</v>
      </c>
      <c r="F13" s="77">
        <v>745</v>
      </c>
      <c r="G13" s="77">
        <v>678</v>
      </c>
      <c r="H13" s="77">
        <v>839</v>
      </c>
    </row>
    <row r="14" spans="1:11" ht="18" x14ac:dyDescent="0.35">
      <c r="B14" s="78" t="s">
        <v>103</v>
      </c>
      <c r="C14" s="77">
        <v>725</v>
      </c>
      <c r="D14" s="77">
        <v>332</v>
      </c>
      <c r="E14" s="77">
        <v>961</v>
      </c>
      <c r="F14" s="77">
        <v>564</v>
      </c>
      <c r="G14" s="77">
        <v>221</v>
      </c>
      <c r="H14" s="77">
        <v>352</v>
      </c>
    </row>
    <row r="15" spans="1:11" ht="18" x14ac:dyDescent="0.35">
      <c r="B15" s="78" t="s">
        <v>101</v>
      </c>
      <c r="C15" s="77">
        <v>793</v>
      </c>
      <c r="D15" s="77">
        <v>587</v>
      </c>
      <c r="E15" s="77">
        <v>522</v>
      </c>
      <c r="F15" s="77">
        <v>368</v>
      </c>
      <c r="G15" s="77">
        <v>875</v>
      </c>
      <c r="H15" s="77">
        <v>462</v>
      </c>
    </row>
    <row r="16" spans="1:11" ht="18" x14ac:dyDescent="0.35">
      <c r="B16" s="78" t="s">
        <v>100</v>
      </c>
      <c r="C16" s="77">
        <v>737</v>
      </c>
      <c r="D16" s="77">
        <v>643</v>
      </c>
      <c r="E16" s="77">
        <v>738</v>
      </c>
      <c r="F16" s="77">
        <v>781</v>
      </c>
      <c r="G16" s="77">
        <v>667</v>
      </c>
      <c r="H16" s="77">
        <v>619</v>
      </c>
    </row>
    <row r="17" spans="2:8" ht="18" x14ac:dyDescent="0.35">
      <c r="B17" s="78" t="s">
        <v>101</v>
      </c>
      <c r="C17" s="77">
        <v>776</v>
      </c>
      <c r="D17" s="77">
        <v>668</v>
      </c>
      <c r="E17" s="77">
        <v>722</v>
      </c>
      <c r="F17" s="77">
        <v>910</v>
      </c>
      <c r="G17" s="77">
        <v>761</v>
      </c>
      <c r="H17" s="77">
        <v>570</v>
      </c>
    </row>
    <row r="18" spans="2:8" ht="18" x14ac:dyDescent="0.35">
      <c r="B18" s="78" t="s">
        <v>104</v>
      </c>
      <c r="C18" s="77">
        <v>380</v>
      </c>
      <c r="D18" s="77">
        <v>405</v>
      </c>
      <c r="E18" s="77">
        <v>200</v>
      </c>
      <c r="F18" s="77">
        <v>826</v>
      </c>
      <c r="G18" s="77">
        <v>527</v>
      </c>
      <c r="H18" s="77">
        <v>531</v>
      </c>
    </row>
    <row r="19" spans="2:8" ht="18" x14ac:dyDescent="0.35">
      <c r="B19" s="78" t="s">
        <v>103</v>
      </c>
      <c r="C19" s="77">
        <v>385</v>
      </c>
      <c r="D19" s="77">
        <v>960</v>
      </c>
      <c r="E19" s="77">
        <v>524</v>
      </c>
      <c r="F19" s="77">
        <v>484</v>
      </c>
      <c r="G19" s="77">
        <v>435</v>
      </c>
      <c r="H19" s="77">
        <v>718</v>
      </c>
    </row>
    <row r="20" spans="2:8" ht="18" x14ac:dyDescent="0.35">
      <c r="B20" s="78" t="s">
        <v>104</v>
      </c>
      <c r="C20" s="77">
        <v>266</v>
      </c>
      <c r="D20" s="77">
        <v>476</v>
      </c>
      <c r="E20" s="77">
        <v>337</v>
      </c>
      <c r="F20" s="77">
        <v>364</v>
      </c>
      <c r="G20" s="77">
        <v>977</v>
      </c>
      <c r="H20" s="77">
        <v>905</v>
      </c>
    </row>
  </sheetData>
  <mergeCells count="1">
    <mergeCell ref="A3:E3"/>
  </mergeCells>
  <dataValidations count="2">
    <dataValidation type="list" allowBlank="1" showInputMessage="1" showErrorMessage="1" sqref="K8" xr:uid="{85D9818B-9C0B-4079-801A-185CBF043E9D}">
      <formula1>$C$9:$H$9</formula1>
    </dataValidation>
    <dataValidation type="list" allowBlank="1" showInputMessage="1" showErrorMessage="1" sqref="K9" xr:uid="{5DD26081-DC1D-463A-A985-62774DF7C733}">
      <formula1>$B$10:$B$20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940A1-B1C5-428A-848C-497BD936EDB7}">
  <sheetPr>
    <tabColor rgb="FFFF0000"/>
  </sheetPr>
  <dimension ref="A3:K20"/>
  <sheetViews>
    <sheetView workbookViewId="0">
      <selection activeCell="J16" sqref="J16"/>
    </sheetView>
  </sheetViews>
  <sheetFormatPr defaultRowHeight="14.4" x14ac:dyDescent="0.3"/>
  <cols>
    <col min="1" max="1" width="14.109375" customWidth="1"/>
    <col min="2" max="2" width="11.109375" bestFit="1" customWidth="1"/>
    <col min="10" max="10" width="10.21875" bestFit="1" customWidth="1"/>
  </cols>
  <sheetData>
    <row r="3" spans="1:11" ht="18" x14ac:dyDescent="0.35">
      <c r="A3" s="120" t="s">
        <v>107</v>
      </c>
      <c r="B3" s="120"/>
      <c r="C3" s="120"/>
      <c r="D3" s="120"/>
      <c r="E3" s="120"/>
    </row>
    <row r="8" spans="1:11" ht="18" x14ac:dyDescent="0.35">
      <c r="J8" s="79" t="s">
        <v>105</v>
      </c>
      <c r="K8" s="75" t="s">
        <v>64</v>
      </c>
    </row>
    <row r="9" spans="1:11" ht="18" x14ac:dyDescent="0.35">
      <c r="B9" s="74"/>
      <c r="C9" s="76" t="s">
        <v>63</v>
      </c>
      <c r="D9" s="76" t="s">
        <v>64</v>
      </c>
      <c r="E9" s="76" t="s">
        <v>65</v>
      </c>
      <c r="F9" s="76" t="s">
        <v>66</v>
      </c>
      <c r="G9" s="76" t="s">
        <v>67</v>
      </c>
      <c r="H9" s="76" t="s">
        <v>68</v>
      </c>
      <c r="J9" s="80" t="s">
        <v>106</v>
      </c>
      <c r="K9" s="75" t="s">
        <v>103</v>
      </c>
    </row>
    <row r="10" spans="1:11" ht="18" x14ac:dyDescent="0.35">
      <c r="B10" s="78" t="s">
        <v>100</v>
      </c>
      <c r="C10" s="77">
        <v>835</v>
      </c>
      <c r="D10" s="77">
        <v>614</v>
      </c>
      <c r="E10" s="77">
        <v>564</v>
      </c>
      <c r="F10" s="77">
        <v>311</v>
      </c>
      <c r="G10" s="77">
        <v>328</v>
      </c>
      <c r="H10" s="77">
        <v>761</v>
      </c>
    </row>
    <row r="11" spans="1:11" ht="18" x14ac:dyDescent="0.35">
      <c r="B11" s="78" t="s">
        <v>101</v>
      </c>
      <c r="C11" s="77">
        <v>947</v>
      </c>
      <c r="D11" s="77">
        <v>370</v>
      </c>
      <c r="E11" s="77">
        <v>739</v>
      </c>
      <c r="F11" s="77">
        <v>915</v>
      </c>
      <c r="G11" s="77">
        <v>758</v>
      </c>
      <c r="H11" s="77">
        <v>448</v>
      </c>
    </row>
    <row r="12" spans="1:11" ht="18" x14ac:dyDescent="0.35">
      <c r="B12" s="78" t="s">
        <v>102</v>
      </c>
      <c r="C12" s="77">
        <v>956</v>
      </c>
      <c r="D12" s="77">
        <v>317</v>
      </c>
      <c r="E12" s="77">
        <v>963</v>
      </c>
      <c r="F12" s="77">
        <v>659</v>
      </c>
      <c r="G12" s="77">
        <v>788</v>
      </c>
      <c r="H12" s="77">
        <v>403</v>
      </c>
    </row>
    <row r="13" spans="1:11" ht="18" x14ac:dyDescent="0.35">
      <c r="B13" s="78" t="s">
        <v>100</v>
      </c>
      <c r="C13" s="77">
        <v>415</v>
      </c>
      <c r="D13" s="77">
        <v>231</v>
      </c>
      <c r="E13" s="77">
        <v>356</v>
      </c>
      <c r="F13" s="77">
        <v>745</v>
      </c>
      <c r="G13" s="77">
        <v>678</v>
      </c>
      <c r="H13" s="77">
        <v>839</v>
      </c>
    </row>
    <row r="14" spans="1:11" ht="18" x14ac:dyDescent="0.35">
      <c r="B14" s="78" t="s">
        <v>103</v>
      </c>
      <c r="C14" s="77">
        <v>725</v>
      </c>
      <c r="D14" s="77">
        <v>332</v>
      </c>
      <c r="E14" s="77">
        <v>961</v>
      </c>
      <c r="F14" s="77">
        <v>564</v>
      </c>
      <c r="G14" s="77">
        <v>221</v>
      </c>
      <c r="H14" s="77">
        <v>352</v>
      </c>
    </row>
    <row r="15" spans="1:11" ht="18" x14ac:dyDescent="0.35">
      <c r="B15" s="78" t="s">
        <v>101</v>
      </c>
      <c r="C15" s="77">
        <v>793</v>
      </c>
      <c r="D15" s="77">
        <v>587</v>
      </c>
      <c r="E15" s="77">
        <v>522</v>
      </c>
      <c r="F15" s="77">
        <v>368</v>
      </c>
      <c r="G15" s="77">
        <v>875</v>
      </c>
      <c r="H15" s="77">
        <v>462</v>
      </c>
    </row>
    <row r="16" spans="1:11" ht="18" x14ac:dyDescent="0.35">
      <c r="B16" s="78" t="s">
        <v>100</v>
      </c>
      <c r="C16" s="77">
        <v>737</v>
      </c>
      <c r="D16" s="77">
        <v>643</v>
      </c>
      <c r="E16" s="77">
        <v>738</v>
      </c>
      <c r="F16" s="77">
        <v>781</v>
      </c>
      <c r="G16" s="77">
        <v>667</v>
      </c>
      <c r="H16" s="77">
        <v>619</v>
      </c>
    </row>
    <row r="17" spans="2:8" ht="18" x14ac:dyDescent="0.35">
      <c r="B17" s="78" t="s">
        <v>101</v>
      </c>
      <c r="C17" s="77">
        <v>776</v>
      </c>
      <c r="D17" s="77">
        <v>668</v>
      </c>
      <c r="E17" s="77">
        <v>722</v>
      </c>
      <c r="F17" s="77">
        <v>910</v>
      </c>
      <c r="G17" s="77">
        <v>761</v>
      </c>
      <c r="H17" s="77">
        <v>570</v>
      </c>
    </row>
    <row r="18" spans="2:8" ht="18" x14ac:dyDescent="0.35">
      <c r="B18" s="78" t="s">
        <v>104</v>
      </c>
      <c r="C18" s="77">
        <v>380</v>
      </c>
      <c r="D18" s="77">
        <v>405</v>
      </c>
      <c r="E18" s="77">
        <v>200</v>
      </c>
      <c r="F18" s="77">
        <v>826</v>
      </c>
      <c r="G18" s="77">
        <v>527</v>
      </c>
      <c r="H18" s="77">
        <v>531</v>
      </c>
    </row>
    <row r="19" spans="2:8" ht="18" x14ac:dyDescent="0.35">
      <c r="B19" s="78" t="s">
        <v>103</v>
      </c>
      <c r="C19" s="77">
        <v>385</v>
      </c>
      <c r="D19" s="77">
        <v>960</v>
      </c>
      <c r="E19" s="77">
        <v>524</v>
      </c>
      <c r="F19" s="77">
        <v>484</v>
      </c>
      <c r="G19" s="77">
        <v>435</v>
      </c>
      <c r="H19" s="77">
        <v>718</v>
      </c>
    </row>
    <row r="20" spans="2:8" ht="18" x14ac:dyDescent="0.35">
      <c r="B20" s="78" t="s">
        <v>104</v>
      </c>
      <c r="C20" s="77">
        <v>266</v>
      </c>
      <c r="D20" s="77">
        <v>476</v>
      </c>
      <c r="E20" s="77">
        <v>337</v>
      </c>
      <c r="F20" s="77">
        <v>364</v>
      </c>
      <c r="G20" s="77">
        <v>977</v>
      </c>
      <c r="H20" s="77">
        <v>905</v>
      </c>
    </row>
  </sheetData>
  <sheetProtection algorithmName="SHA-512" hashValue="hoB+oKHIqw6Z7P7j4sWW+Tf99742IG7/iKMv8uCrgKiaubfddqeCVwfKTQ4G5t12vZJSNu8ijdJArMocNbqgbw==" saltValue="rl6OJpNQDAeEh/23lIv84g==" spinCount="100000" sheet="1" objects="1" scenarios="1" selectLockedCells="1" selectUnlockedCells="1"/>
  <mergeCells count="1">
    <mergeCell ref="A3:E3"/>
  </mergeCells>
  <conditionalFormatting sqref="B10:H20">
    <cfRule type="expression" dxfId="8" priority="1">
      <formula>$B10=$K$9</formula>
    </cfRule>
  </conditionalFormatting>
  <conditionalFormatting sqref="C10:H20">
    <cfRule type="expression" dxfId="7" priority="2">
      <formula>C$9=$K$8</formula>
    </cfRule>
  </conditionalFormatting>
  <dataValidations count="2">
    <dataValidation type="list" allowBlank="1" showInputMessage="1" showErrorMessage="1" sqref="K9" xr:uid="{2E1CCF7C-D8A5-4E06-AB58-43D5428D06A3}">
      <formula1>$B$10:$B$20</formula1>
    </dataValidation>
    <dataValidation type="list" allowBlank="1" showInputMessage="1" showErrorMessage="1" sqref="K8" xr:uid="{10043FE7-194F-4058-AD75-7489C0BC7ED0}">
      <formula1>$C$9:$H$9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E34BD-E07F-4640-B13C-6B6080952ADF}">
  <sheetPr>
    <tabColor rgb="FF0000FF"/>
  </sheetPr>
  <dimension ref="A1:H12"/>
  <sheetViews>
    <sheetView showGridLines="0" topLeftCell="B1" workbookViewId="0">
      <selection activeCell="J15" sqref="J15"/>
    </sheetView>
  </sheetViews>
  <sheetFormatPr defaultRowHeight="14.4" x14ac:dyDescent="0.3"/>
  <cols>
    <col min="1" max="1" width="7.109375" bestFit="1" customWidth="1"/>
    <col min="2" max="2" width="10.33203125" bestFit="1" customWidth="1"/>
    <col min="3" max="3" width="9.109375" bestFit="1" customWidth="1"/>
    <col min="4" max="4" width="7.6640625" bestFit="1" customWidth="1"/>
    <col min="5" max="5" width="8.6640625" bestFit="1" customWidth="1"/>
    <col min="6" max="6" width="7" bestFit="1" customWidth="1"/>
  </cols>
  <sheetData>
    <row r="1" spans="1:8" x14ac:dyDescent="0.3">
      <c r="A1" s="81" t="s">
        <v>26</v>
      </c>
      <c r="B1" s="81" t="s">
        <v>0</v>
      </c>
      <c r="C1" s="81" t="s">
        <v>1</v>
      </c>
      <c r="D1" s="81" t="s">
        <v>2</v>
      </c>
      <c r="E1" s="81" t="s">
        <v>3</v>
      </c>
      <c r="F1" s="81" t="s">
        <v>4</v>
      </c>
    </row>
    <row r="2" spans="1:8" x14ac:dyDescent="0.3">
      <c r="A2" s="7">
        <v>659455</v>
      </c>
      <c r="B2" s="13">
        <v>41579</v>
      </c>
      <c r="C2" s="7" t="s">
        <v>6</v>
      </c>
      <c r="D2" s="7" t="s">
        <v>16</v>
      </c>
      <c r="E2" s="7">
        <v>39.04</v>
      </c>
      <c r="F2" s="7">
        <v>19.52</v>
      </c>
    </row>
    <row r="3" spans="1:8" x14ac:dyDescent="0.3">
      <c r="A3" s="7">
        <v>659457</v>
      </c>
      <c r="B3" s="13">
        <v>41609</v>
      </c>
      <c r="C3" s="7" t="s">
        <v>6</v>
      </c>
      <c r="D3" s="7" t="s">
        <v>16</v>
      </c>
      <c r="E3" s="7">
        <v>40.26</v>
      </c>
      <c r="F3" s="7">
        <v>21.33</v>
      </c>
      <c r="H3" t="s">
        <v>112</v>
      </c>
    </row>
    <row r="4" spans="1:8" x14ac:dyDescent="0.3">
      <c r="A4" s="7">
        <v>659447</v>
      </c>
      <c r="B4" s="13">
        <v>41395</v>
      </c>
      <c r="C4" s="7" t="s">
        <v>108</v>
      </c>
      <c r="D4" s="7" t="s">
        <v>14</v>
      </c>
      <c r="E4" s="7">
        <v>48.48</v>
      </c>
      <c r="F4" s="7">
        <v>25.2</v>
      </c>
    </row>
    <row r="5" spans="1:8" x14ac:dyDescent="0.3">
      <c r="A5" s="7">
        <v>659456</v>
      </c>
      <c r="B5" s="13">
        <v>41609</v>
      </c>
      <c r="C5" s="7" t="s">
        <v>6</v>
      </c>
      <c r="D5" s="7" t="s">
        <v>16</v>
      </c>
      <c r="E5" s="7">
        <v>51.24</v>
      </c>
      <c r="F5" s="7">
        <v>27.16</v>
      </c>
    </row>
    <row r="6" spans="1:8" x14ac:dyDescent="0.3">
      <c r="A6" s="7">
        <v>659447</v>
      </c>
      <c r="B6" s="13">
        <v>41609</v>
      </c>
      <c r="C6" s="7" t="s">
        <v>108</v>
      </c>
      <c r="D6" s="7" t="s">
        <v>14</v>
      </c>
      <c r="E6" s="7">
        <v>60.6</v>
      </c>
      <c r="F6" s="7">
        <v>28.5</v>
      </c>
    </row>
    <row r="7" spans="1:8" x14ac:dyDescent="0.3">
      <c r="A7" s="7">
        <v>659445</v>
      </c>
      <c r="B7" s="13">
        <v>41395</v>
      </c>
      <c r="C7" s="7" t="s">
        <v>108</v>
      </c>
      <c r="D7" s="7" t="s">
        <v>11</v>
      </c>
      <c r="E7" s="7">
        <v>114</v>
      </c>
      <c r="F7" s="7">
        <v>55.86</v>
      </c>
    </row>
    <row r="8" spans="1:8" x14ac:dyDescent="0.3">
      <c r="A8" s="7">
        <v>659459</v>
      </c>
      <c r="B8" s="7" t="s">
        <v>109</v>
      </c>
      <c r="C8" s="7" t="s">
        <v>6</v>
      </c>
      <c r="D8" s="7" t="s">
        <v>16</v>
      </c>
      <c r="E8" s="7">
        <v>183</v>
      </c>
      <c r="F8" s="7">
        <v>95.2</v>
      </c>
    </row>
    <row r="9" spans="1:8" x14ac:dyDescent="0.3">
      <c r="A9" s="7">
        <v>659451</v>
      </c>
      <c r="B9" s="13">
        <v>41518</v>
      </c>
      <c r="C9" s="7" t="s">
        <v>6</v>
      </c>
      <c r="D9" s="7" t="s">
        <v>7</v>
      </c>
      <c r="E9" s="7">
        <v>203.04</v>
      </c>
      <c r="F9" s="7">
        <v>95.4</v>
      </c>
    </row>
    <row r="10" spans="1:8" x14ac:dyDescent="0.3">
      <c r="A10" s="7">
        <v>659447</v>
      </c>
      <c r="B10" s="13">
        <v>41579</v>
      </c>
      <c r="C10" s="7" t="s">
        <v>110</v>
      </c>
      <c r="D10" s="7" t="s">
        <v>5</v>
      </c>
      <c r="E10" s="7">
        <v>200.6</v>
      </c>
      <c r="F10" s="7">
        <v>106.32</v>
      </c>
    </row>
    <row r="11" spans="1:8" x14ac:dyDescent="0.3">
      <c r="A11" s="7">
        <v>659458</v>
      </c>
      <c r="B11" s="7" t="s">
        <v>111</v>
      </c>
      <c r="C11" s="7" t="s">
        <v>6</v>
      </c>
      <c r="D11" s="7" t="s">
        <v>16</v>
      </c>
      <c r="E11" s="7">
        <v>207.36</v>
      </c>
      <c r="F11" s="7">
        <v>107.82</v>
      </c>
    </row>
    <row r="12" spans="1:8" x14ac:dyDescent="0.3">
      <c r="A12" s="7">
        <v>659455</v>
      </c>
      <c r="B12" s="13">
        <v>41579</v>
      </c>
      <c r="C12" s="7" t="s">
        <v>108</v>
      </c>
      <c r="D12" s="7" t="s">
        <v>11</v>
      </c>
      <c r="E12" s="7">
        <v>219.06</v>
      </c>
      <c r="F12" s="7">
        <v>118.3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3E03D-12EA-440B-AA27-5B8212B2A1AA}">
  <sheetPr>
    <tabColor rgb="FFC00000"/>
  </sheetPr>
  <dimension ref="D2:H7"/>
  <sheetViews>
    <sheetView workbookViewId="0"/>
  </sheetViews>
  <sheetFormatPr defaultRowHeight="14.4" x14ac:dyDescent="0.3"/>
  <cols>
    <col min="6" max="6" width="14.21875" bestFit="1" customWidth="1"/>
  </cols>
  <sheetData>
    <row r="2" spans="4:8" ht="28.8" x14ac:dyDescent="0.55000000000000004">
      <c r="D2" s="85"/>
      <c r="E2" s="86"/>
      <c r="F2" s="86"/>
      <c r="G2" s="86"/>
      <c r="H2" s="87"/>
    </row>
    <row r="3" spans="4:8" ht="28.8" x14ac:dyDescent="0.55000000000000004">
      <c r="D3" s="88"/>
      <c r="E3" s="89"/>
      <c r="F3" s="89"/>
      <c r="G3" s="89"/>
      <c r="H3" s="90"/>
    </row>
    <row r="4" spans="4:8" ht="28.8" x14ac:dyDescent="0.55000000000000004">
      <c r="D4" s="88"/>
      <c r="E4" s="89"/>
      <c r="F4" s="83" t="s">
        <v>26</v>
      </c>
      <c r="G4" s="89"/>
      <c r="H4" s="90"/>
    </row>
    <row r="5" spans="4:8" ht="28.8" x14ac:dyDescent="0.55000000000000004">
      <c r="D5" s="88"/>
      <c r="E5" s="89"/>
      <c r="F5" s="84">
        <v>659447</v>
      </c>
      <c r="G5" s="89"/>
      <c r="H5" s="90"/>
    </row>
    <row r="6" spans="4:8" ht="28.8" x14ac:dyDescent="0.55000000000000004">
      <c r="D6" s="88"/>
      <c r="E6" s="89"/>
      <c r="F6" s="89"/>
      <c r="G6" s="89"/>
      <c r="H6" s="90"/>
    </row>
    <row r="7" spans="4:8" ht="28.8" x14ac:dyDescent="0.55000000000000004">
      <c r="D7" s="91"/>
      <c r="E7" s="92"/>
      <c r="F7" s="92"/>
      <c r="G7" s="92"/>
      <c r="H7" s="9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0F22-500B-44A9-B05A-E976307E24B0}">
  <sheetPr>
    <tabColor rgb="FFFF0000"/>
  </sheetPr>
  <dimension ref="A1:F12"/>
  <sheetViews>
    <sheetView workbookViewId="0">
      <selection activeCell="L18" sqref="L18"/>
    </sheetView>
  </sheetViews>
  <sheetFormatPr defaultRowHeight="14.4" x14ac:dyDescent="0.3"/>
  <cols>
    <col min="1" max="1" width="7.109375" bestFit="1" customWidth="1"/>
    <col min="2" max="2" width="10.33203125" bestFit="1" customWidth="1"/>
    <col min="3" max="3" width="9.109375" bestFit="1" customWidth="1"/>
    <col min="4" max="4" width="7.6640625" bestFit="1" customWidth="1"/>
    <col min="5" max="5" width="8.6640625" bestFit="1" customWidth="1"/>
    <col min="6" max="6" width="7" bestFit="1" customWidth="1"/>
  </cols>
  <sheetData>
    <row r="1" spans="1:6" x14ac:dyDescent="0.3">
      <c r="A1" s="81" t="s">
        <v>26</v>
      </c>
      <c r="B1" s="81" t="s">
        <v>0</v>
      </c>
      <c r="C1" s="81" t="s">
        <v>1</v>
      </c>
      <c r="D1" s="81" t="s">
        <v>2</v>
      </c>
      <c r="E1" s="81" t="s">
        <v>3</v>
      </c>
      <c r="F1" s="81" t="s">
        <v>4</v>
      </c>
    </row>
    <row r="2" spans="1:6" x14ac:dyDescent="0.3">
      <c r="A2" s="7">
        <v>659455</v>
      </c>
      <c r="B2" s="13">
        <v>41579</v>
      </c>
      <c r="C2" s="7" t="s">
        <v>6</v>
      </c>
      <c r="D2" s="7" t="s">
        <v>16</v>
      </c>
      <c r="E2" s="7">
        <v>39.04</v>
      </c>
      <c r="F2" s="7">
        <v>19.52</v>
      </c>
    </row>
    <row r="3" spans="1:6" x14ac:dyDescent="0.3">
      <c r="A3" s="7">
        <v>659457</v>
      </c>
      <c r="B3" s="13">
        <v>41609</v>
      </c>
      <c r="C3" s="7" t="s">
        <v>6</v>
      </c>
      <c r="D3" s="7" t="s">
        <v>16</v>
      </c>
      <c r="E3" s="7">
        <v>40.26</v>
      </c>
      <c r="F3" s="7">
        <v>21.33</v>
      </c>
    </row>
    <row r="4" spans="1:6" x14ac:dyDescent="0.3">
      <c r="A4" s="7">
        <v>659447</v>
      </c>
      <c r="B4" s="13">
        <v>41395</v>
      </c>
      <c r="C4" s="7" t="s">
        <v>108</v>
      </c>
      <c r="D4" s="7" t="s">
        <v>14</v>
      </c>
      <c r="E4" s="7">
        <v>48.48</v>
      </c>
      <c r="F4" s="7">
        <v>25.2</v>
      </c>
    </row>
    <row r="5" spans="1:6" x14ac:dyDescent="0.3">
      <c r="A5" s="7">
        <v>659456</v>
      </c>
      <c r="B5" s="13">
        <v>41609</v>
      </c>
      <c r="C5" s="7" t="s">
        <v>6</v>
      </c>
      <c r="D5" s="7" t="s">
        <v>16</v>
      </c>
      <c r="E5" s="7">
        <v>51.24</v>
      </c>
      <c r="F5" s="7">
        <v>27.16</v>
      </c>
    </row>
    <row r="6" spans="1:6" x14ac:dyDescent="0.3">
      <c r="A6" s="7">
        <v>659447</v>
      </c>
      <c r="B6" s="13">
        <v>41609</v>
      </c>
      <c r="C6" s="7" t="s">
        <v>108</v>
      </c>
      <c r="D6" s="7" t="s">
        <v>14</v>
      </c>
      <c r="E6" s="7">
        <v>60.6</v>
      </c>
      <c r="F6" s="7">
        <v>28.5</v>
      </c>
    </row>
    <row r="7" spans="1:6" x14ac:dyDescent="0.3">
      <c r="A7" s="7">
        <v>659445</v>
      </c>
      <c r="B7" s="13">
        <v>41395</v>
      </c>
      <c r="C7" s="7" t="s">
        <v>108</v>
      </c>
      <c r="D7" s="7" t="s">
        <v>11</v>
      </c>
      <c r="E7" s="7">
        <v>114</v>
      </c>
      <c r="F7" s="7">
        <v>55.86</v>
      </c>
    </row>
    <row r="8" spans="1:6" x14ac:dyDescent="0.3">
      <c r="A8" s="7">
        <v>659459</v>
      </c>
      <c r="B8" s="7" t="s">
        <v>109</v>
      </c>
      <c r="C8" s="7" t="s">
        <v>6</v>
      </c>
      <c r="D8" s="7" t="s">
        <v>16</v>
      </c>
      <c r="E8" s="7">
        <v>183</v>
      </c>
      <c r="F8" s="7">
        <v>95.2</v>
      </c>
    </row>
    <row r="9" spans="1:6" x14ac:dyDescent="0.3">
      <c r="A9" s="7">
        <v>659451</v>
      </c>
      <c r="B9" s="13">
        <v>41518</v>
      </c>
      <c r="C9" s="7" t="s">
        <v>6</v>
      </c>
      <c r="D9" s="7" t="s">
        <v>7</v>
      </c>
      <c r="E9" s="7">
        <v>203.04</v>
      </c>
      <c r="F9" s="7">
        <v>95.4</v>
      </c>
    </row>
    <row r="10" spans="1:6" x14ac:dyDescent="0.3">
      <c r="A10" s="7">
        <v>659447</v>
      </c>
      <c r="B10" s="13">
        <v>41579</v>
      </c>
      <c r="C10" s="7" t="s">
        <v>110</v>
      </c>
      <c r="D10" s="7" t="s">
        <v>5</v>
      </c>
      <c r="E10" s="7">
        <v>200.6</v>
      </c>
      <c r="F10" s="7">
        <v>106.32</v>
      </c>
    </row>
    <row r="11" spans="1:6" x14ac:dyDescent="0.3">
      <c r="A11" s="7">
        <v>659458</v>
      </c>
      <c r="B11" s="7" t="s">
        <v>111</v>
      </c>
      <c r="C11" s="7" t="s">
        <v>6</v>
      </c>
      <c r="D11" s="7" t="s">
        <v>16</v>
      </c>
      <c r="E11" s="7">
        <v>207.36</v>
      </c>
      <c r="F11" s="7">
        <v>107.82</v>
      </c>
    </row>
    <row r="12" spans="1:6" x14ac:dyDescent="0.3">
      <c r="A12" s="7">
        <v>659455</v>
      </c>
      <c r="B12" s="13">
        <v>41579</v>
      </c>
      <c r="C12" s="7" t="s">
        <v>108</v>
      </c>
      <c r="D12" s="7" t="s">
        <v>11</v>
      </c>
      <c r="E12" s="7">
        <v>219.06</v>
      </c>
      <c r="F12" s="7">
        <v>118.3</v>
      </c>
    </row>
  </sheetData>
  <sheetProtection algorithmName="SHA-512" hashValue="RgpHMfkdo/YDczo608QQZyCp3JKNGO1bK7Oo87Vy4l9hMo6JAZQdc9yUG/9+5TWEElfdxuY2HUtHFsySsdpB4w==" saltValue="/mcZy8p/la1xvBXqkZ1Rlg==" spinCount="100000" sheet="1" objects="1" scenarios="1" selectLockedCells="1" selectUnlockedCells="1"/>
  <conditionalFormatting sqref="A2:A12">
    <cfRule type="expression" dxfId="6" priority="2">
      <formula>$B2=$I$36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B81933F-3BE2-46EF-9E57-637FAEA25F8C}">
            <xm:f>$A2='Refrence Sheet 14'!$F$5</xm:f>
            <x14:dxf>
              <fill>
                <patternFill>
                  <bgColor rgb="FFFF0000"/>
                </patternFill>
              </fill>
            </x14:dxf>
          </x14:cfRule>
          <xm:sqref>A2:F12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CF050-D81B-4D91-8EF9-28B13BBC2358}">
  <sheetPr>
    <tabColor rgb="FF0000FF"/>
  </sheetPr>
  <dimension ref="B1:L54"/>
  <sheetViews>
    <sheetView zoomScale="128" workbookViewId="0">
      <selection activeCell="J11" sqref="J11"/>
    </sheetView>
  </sheetViews>
  <sheetFormatPr defaultRowHeight="14.4" x14ac:dyDescent="0.3"/>
  <cols>
    <col min="1" max="1" width="8.6640625" bestFit="1" customWidth="1"/>
    <col min="2" max="2" width="10.33203125" bestFit="1" customWidth="1"/>
    <col min="3" max="3" width="12.77734375" bestFit="1" customWidth="1"/>
    <col min="4" max="4" width="26.5546875" bestFit="1" customWidth="1"/>
    <col min="5" max="5" width="22.109375" bestFit="1" customWidth="1"/>
    <col min="6" max="6" width="15.33203125" customWidth="1"/>
    <col min="7" max="7" width="9.5546875" bestFit="1" customWidth="1"/>
    <col min="8" max="8" width="10.109375" bestFit="1" customWidth="1"/>
    <col min="9" max="10" width="9.5546875" bestFit="1" customWidth="1"/>
    <col min="11" max="11" width="13.5546875" customWidth="1"/>
  </cols>
  <sheetData>
    <row r="1" spans="2:12" x14ac:dyDescent="0.3">
      <c r="B1" s="121" t="s">
        <v>123</v>
      </c>
      <c r="C1" s="121"/>
      <c r="D1" s="121"/>
      <c r="E1" s="121"/>
      <c r="F1" s="121"/>
      <c r="G1" s="121"/>
      <c r="H1" s="121"/>
      <c r="I1" s="121"/>
      <c r="J1" s="121"/>
      <c r="K1" s="121"/>
    </row>
    <row r="2" spans="2:12" x14ac:dyDescent="0.3">
      <c r="B2" s="121"/>
      <c r="C2" s="121"/>
      <c r="D2" s="121"/>
      <c r="E2" s="121"/>
      <c r="F2" s="121"/>
      <c r="G2" s="122"/>
      <c r="H2" s="122"/>
      <c r="I2" s="122"/>
      <c r="J2" s="122"/>
      <c r="K2" s="121"/>
    </row>
    <row r="3" spans="2:12" x14ac:dyDescent="0.3">
      <c r="B3" s="99" t="s">
        <v>1</v>
      </c>
      <c r="C3" s="100" t="s">
        <v>2</v>
      </c>
      <c r="D3" s="101" t="s">
        <v>26</v>
      </c>
      <c r="E3" s="102" t="s">
        <v>0</v>
      </c>
      <c r="F3" s="103" t="s">
        <v>3</v>
      </c>
      <c r="G3" s="123" t="s">
        <v>116</v>
      </c>
      <c r="H3" s="123"/>
      <c r="I3" s="123"/>
      <c r="J3" s="123"/>
      <c r="K3" s="104" t="s">
        <v>4</v>
      </c>
    </row>
    <row r="4" spans="2:12" ht="57.6" x14ac:dyDescent="0.3">
      <c r="B4" s="69" t="s">
        <v>6</v>
      </c>
      <c r="C4" s="69" t="s">
        <v>13</v>
      </c>
      <c r="D4" s="69" t="s">
        <v>113</v>
      </c>
      <c r="E4" s="69" t="s">
        <v>114</v>
      </c>
      <c r="F4" s="97" t="s">
        <v>121</v>
      </c>
      <c r="G4" s="105" t="s">
        <v>115</v>
      </c>
      <c r="H4" s="96" t="s">
        <v>117</v>
      </c>
      <c r="I4" s="96" t="s">
        <v>120</v>
      </c>
      <c r="J4" s="96" t="s">
        <v>118</v>
      </c>
      <c r="K4" s="98" t="s">
        <v>122</v>
      </c>
    </row>
    <row r="5" spans="2:12" x14ac:dyDescent="0.3">
      <c r="H5" s="82"/>
      <c r="I5" s="82"/>
      <c r="J5" s="82"/>
    </row>
    <row r="7" spans="2:12" x14ac:dyDescent="0.3">
      <c r="B7" s="1" t="s">
        <v>26</v>
      </c>
      <c r="C7" s="1" t="s">
        <v>0</v>
      </c>
      <c r="D7" s="1" t="s">
        <v>1</v>
      </c>
      <c r="E7" s="1" t="s">
        <v>2</v>
      </c>
      <c r="F7" s="1" t="s">
        <v>116</v>
      </c>
      <c r="G7" s="1" t="s">
        <v>119</v>
      </c>
      <c r="H7" s="1" t="s">
        <v>3</v>
      </c>
      <c r="I7" s="1" t="s">
        <v>4</v>
      </c>
    </row>
    <row r="8" spans="2:12" x14ac:dyDescent="0.3">
      <c r="B8" s="2">
        <v>659461</v>
      </c>
      <c r="C8" s="3">
        <v>41275</v>
      </c>
      <c r="D8" s="2" t="s">
        <v>27</v>
      </c>
      <c r="E8" s="2" t="s">
        <v>5</v>
      </c>
      <c r="F8" s="2">
        <v>1</v>
      </c>
      <c r="G8" s="95"/>
      <c r="H8" s="4">
        <v>1232.44</v>
      </c>
      <c r="I8" s="4">
        <v>591.58000000000004</v>
      </c>
      <c r="K8" s="94"/>
    </row>
    <row r="9" spans="2:12" x14ac:dyDescent="0.3">
      <c r="B9" s="2">
        <v>659473</v>
      </c>
      <c r="C9" s="3">
        <v>41276</v>
      </c>
      <c r="D9" s="2" t="s">
        <v>6</v>
      </c>
      <c r="E9" s="2" t="s">
        <v>7</v>
      </c>
      <c r="F9" s="2">
        <v>3</v>
      </c>
      <c r="G9" s="95"/>
      <c r="H9" s="4">
        <v>451.2</v>
      </c>
      <c r="I9" s="4">
        <v>212.08</v>
      </c>
    </row>
    <row r="10" spans="2:12" x14ac:dyDescent="0.3">
      <c r="B10" s="2">
        <v>659459</v>
      </c>
      <c r="C10" s="3">
        <v>41276</v>
      </c>
      <c r="D10" s="2" t="s">
        <v>27</v>
      </c>
      <c r="E10" s="2" t="s">
        <v>8</v>
      </c>
      <c r="F10" s="2">
        <v>10</v>
      </c>
      <c r="G10" s="95"/>
      <c r="H10" s="4">
        <v>357.5</v>
      </c>
      <c r="I10" s="4">
        <v>193.06</v>
      </c>
      <c r="L10" s="94"/>
    </row>
    <row r="11" spans="2:12" x14ac:dyDescent="0.3">
      <c r="B11" s="2">
        <v>659475</v>
      </c>
      <c r="C11" s="3">
        <v>41276</v>
      </c>
      <c r="D11" s="2" t="s">
        <v>6</v>
      </c>
      <c r="E11" s="2" t="s">
        <v>9</v>
      </c>
      <c r="F11" s="2">
        <v>6</v>
      </c>
      <c r="G11" s="95"/>
      <c r="H11" s="4">
        <v>1957.6</v>
      </c>
      <c r="I11" s="4">
        <v>1037.55</v>
      </c>
      <c r="L11" s="94"/>
    </row>
    <row r="12" spans="2:12" x14ac:dyDescent="0.3">
      <c r="B12" s="2">
        <v>659462</v>
      </c>
      <c r="C12" s="3">
        <v>41277</v>
      </c>
      <c r="D12" s="2" t="s">
        <v>27</v>
      </c>
      <c r="E12" s="2" t="s">
        <v>5</v>
      </c>
      <c r="F12" s="2">
        <v>3</v>
      </c>
      <c r="G12" s="95"/>
      <c r="H12" s="4">
        <v>561.67999999999995</v>
      </c>
      <c r="I12" s="4">
        <v>303.31</v>
      </c>
      <c r="L12" s="94"/>
    </row>
    <row r="13" spans="2:12" x14ac:dyDescent="0.3">
      <c r="B13" s="2">
        <v>659457</v>
      </c>
      <c r="C13" s="3">
        <v>41277</v>
      </c>
      <c r="D13" s="2" t="s">
        <v>27</v>
      </c>
      <c r="E13" s="2" t="s">
        <v>8</v>
      </c>
      <c r="F13" s="2">
        <v>10</v>
      </c>
      <c r="G13" s="95"/>
      <c r="H13" s="4">
        <v>1980</v>
      </c>
      <c r="I13" s="4">
        <v>990</v>
      </c>
    </row>
    <row r="14" spans="2:12" x14ac:dyDescent="0.3">
      <c r="B14" s="2">
        <v>659452</v>
      </c>
      <c r="C14" s="3">
        <v>41278</v>
      </c>
      <c r="D14" s="2" t="s">
        <v>27</v>
      </c>
      <c r="E14" s="2" t="s">
        <v>5</v>
      </c>
      <c r="F14" s="2">
        <v>10</v>
      </c>
      <c r="G14" s="95"/>
      <c r="H14" s="4">
        <v>2772</v>
      </c>
      <c r="I14" s="4">
        <v>1469.16</v>
      </c>
    </row>
    <row r="15" spans="2:12" x14ac:dyDescent="0.3">
      <c r="B15" s="2">
        <v>659440</v>
      </c>
      <c r="C15" s="3">
        <v>41279</v>
      </c>
      <c r="D15" s="2" t="s">
        <v>27</v>
      </c>
      <c r="E15" s="2" t="s">
        <v>5</v>
      </c>
      <c r="F15" s="2">
        <v>9</v>
      </c>
      <c r="G15" s="95"/>
      <c r="H15" s="4">
        <v>4536</v>
      </c>
      <c r="I15" s="4">
        <v>2358.7199999999998</v>
      </c>
    </row>
    <row r="16" spans="2:12" x14ac:dyDescent="0.3">
      <c r="B16" s="2">
        <v>659467</v>
      </c>
      <c r="C16" s="3">
        <v>41279</v>
      </c>
      <c r="D16" s="2" t="s">
        <v>27</v>
      </c>
      <c r="E16" s="2" t="s">
        <v>10</v>
      </c>
      <c r="F16" s="2">
        <v>7</v>
      </c>
      <c r="G16" s="95"/>
      <c r="H16" s="4">
        <v>503.1</v>
      </c>
      <c r="I16" s="4">
        <v>251.56</v>
      </c>
    </row>
    <row r="17" spans="2:9" x14ac:dyDescent="0.3">
      <c r="B17" s="2">
        <v>659453</v>
      </c>
      <c r="C17" s="3">
        <v>41279</v>
      </c>
      <c r="D17" s="2" t="s">
        <v>6</v>
      </c>
      <c r="E17" s="2" t="s">
        <v>9</v>
      </c>
      <c r="F17" s="2">
        <v>10</v>
      </c>
      <c r="G17" s="95"/>
      <c r="H17" s="4">
        <v>3938.4</v>
      </c>
      <c r="I17" s="4">
        <v>1890.4</v>
      </c>
    </row>
    <row r="18" spans="2:9" x14ac:dyDescent="0.3">
      <c r="B18" s="2">
        <v>659446</v>
      </c>
      <c r="C18" s="3">
        <v>41279</v>
      </c>
      <c r="D18" s="2" t="s">
        <v>27</v>
      </c>
      <c r="E18" s="2" t="s">
        <v>10</v>
      </c>
      <c r="F18" s="2">
        <v>6</v>
      </c>
      <c r="G18" s="95"/>
      <c r="H18" s="4">
        <v>464.96</v>
      </c>
      <c r="I18" s="4">
        <v>237.12</v>
      </c>
    </row>
    <row r="19" spans="2:9" x14ac:dyDescent="0.3">
      <c r="B19" s="2">
        <v>659450</v>
      </c>
      <c r="C19" s="3">
        <v>41279</v>
      </c>
      <c r="D19" s="2" t="s">
        <v>27</v>
      </c>
      <c r="E19" s="2" t="s">
        <v>8</v>
      </c>
      <c r="F19" s="2">
        <v>5</v>
      </c>
      <c r="G19" s="95"/>
      <c r="H19" s="4">
        <v>1650</v>
      </c>
      <c r="I19" s="4">
        <v>792</v>
      </c>
    </row>
    <row r="20" spans="2:9" x14ac:dyDescent="0.3">
      <c r="B20" s="2">
        <v>659470</v>
      </c>
      <c r="C20" s="3">
        <v>41279</v>
      </c>
      <c r="D20" s="2" t="s">
        <v>28</v>
      </c>
      <c r="E20" s="2" t="s">
        <v>11</v>
      </c>
      <c r="F20" s="2">
        <v>5</v>
      </c>
      <c r="G20" s="95"/>
      <c r="H20" s="4">
        <v>114</v>
      </c>
      <c r="I20" s="4">
        <v>55.86</v>
      </c>
    </row>
    <row r="21" spans="2:9" x14ac:dyDescent="0.3">
      <c r="B21" s="2">
        <v>659443</v>
      </c>
      <c r="C21" s="3">
        <v>41279</v>
      </c>
      <c r="D21" s="2" t="s">
        <v>28</v>
      </c>
      <c r="E21" s="2" t="s">
        <v>12</v>
      </c>
      <c r="F21" s="2">
        <v>7</v>
      </c>
      <c r="G21" s="95"/>
      <c r="H21" s="4">
        <v>1008.72</v>
      </c>
      <c r="I21" s="4">
        <v>504.36</v>
      </c>
    </row>
    <row r="22" spans="2:9" x14ac:dyDescent="0.3">
      <c r="B22" s="2">
        <v>659472</v>
      </c>
      <c r="C22" s="3">
        <v>41279</v>
      </c>
      <c r="D22" s="2" t="s">
        <v>28</v>
      </c>
      <c r="E22" s="2" t="s">
        <v>11</v>
      </c>
      <c r="F22" s="2">
        <v>7</v>
      </c>
      <c r="G22" s="95"/>
      <c r="H22" s="4">
        <v>730.2</v>
      </c>
      <c r="I22" s="4">
        <v>365.1</v>
      </c>
    </row>
    <row r="23" spans="2:9" x14ac:dyDescent="0.3">
      <c r="B23" s="2">
        <v>659467</v>
      </c>
      <c r="C23" s="3">
        <v>41279</v>
      </c>
      <c r="D23" s="2" t="s">
        <v>27</v>
      </c>
      <c r="E23" s="2" t="s">
        <v>13</v>
      </c>
      <c r="F23" s="2">
        <v>7</v>
      </c>
      <c r="G23" s="95"/>
      <c r="H23" s="4">
        <v>3174</v>
      </c>
      <c r="I23" s="4">
        <v>1713.96</v>
      </c>
    </row>
    <row r="24" spans="2:9" x14ac:dyDescent="0.3">
      <c r="B24" s="2">
        <v>659478</v>
      </c>
      <c r="C24" s="3">
        <v>41279</v>
      </c>
      <c r="D24" s="2" t="s">
        <v>27</v>
      </c>
      <c r="E24" s="2" t="s">
        <v>5</v>
      </c>
      <c r="F24" s="2">
        <v>1</v>
      </c>
      <c r="G24" s="95"/>
      <c r="H24" s="4">
        <v>2304</v>
      </c>
      <c r="I24" s="4">
        <v>1082.8800000000001</v>
      </c>
    </row>
    <row r="25" spans="2:9" x14ac:dyDescent="0.3">
      <c r="B25" s="2">
        <v>659455</v>
      </c>
      <c r="C25" s="3">
        <v>41279</v>
      </c>
      <c r="D25" s="2" t="s">
        <v>27</v>
      </c>
      <c r="E25" s="2" t="s">
        <v>5</v>
      </c>
      <c r="F25" s="2">
        <v>10</v>
      </c>
      <c r="G25" s="95"/>
      <c r="H25" s="4">
        <v>2744.98</v>
      </c>
      <c r="I25" s="4">
        <v>1317.61</v>
      </c>
    </row>
    <row r="26" spans="2:9" x14ac:dyDescent="0.3">
      <c r="B26" s="2">
        <v>659442</v>
      </c>
      <c r="C26" s="3">
        <v>41279</v>
      </c>
      <c r="D26" s="2" t="s">
        <v>27</v>
      </c>
      <c r="E26" s="2" t="s">
        <v>5</v>
      </c>
      <c r="F26" s="2">
        <v>9</v>
      </c>
      <c r="G26" s="95"/>
      <c r="H26" s="4">
        <v>3361.2</v>
      </c>
      <c r="I26" s="4">
        <v>1579.75</v>
      </c>
    </row>
    <row r="27" spans="2:9" x14ac:dyDescent="0.3">
      <c r="B27" s="2">
        <v>659456</v>
      </c>
      <c r="C27" s="3">
        <v>41279</v>
      </c>
      <c r="D27" s="2" t="s">
        <v>28</v>
      </c>
      <c r="E27" s="2" t="s">
        <v>14</v>
      </c>
      <c r="F27" s="2">
        <v>10</v>
      </c>
      <c r="G27" s="95"/>
      <c r="H27" s="4">
        <v>48.48</v>
      </c>
      <c r="I27" s="4">
        <v>25.2</v>
      </c>
    </row>
    <row r="28" spans="2:9" x14ac:dyDescent="0.3">
      <c r="B28" s="2">
        <v>659445</v>
      </c>
      <c r="C28" s="3">
        <v>41279</v>
      </c>
      <c r="D28" s="2" t="s">
        <v>28</v>
      </c>
      <c r="E28" s="2" t="s">
        <v>15</v>
      </c>
      <c r="F28" s="2">
        <v>6</v>
      </c>
      <c r="G28" s="95"/>
      <c r="H28" s="4">
        <v>1664</v>
      </c>
      <c r="I28" s="4">
        <v>881.92</v>
      </c>
    </row>
    <row r="29" spans="2:9" x14ac:dyDescent="0.3">
      <c r="B29" s="2">
        <v>659471</v>
      </c>
      <c r="C29" s="3">
        <v>41280</v>
      </c>
      <c r="D29" s="2" t="s">
        <v>28</v>
      </c>
      <c r="E29" s="2" t="s">
        <v>11</v>
      </c>
      <c r="F29" s="2">
        <v>1</v>
      </c>
      <c r="G29" s="95"/>
      <c r="H29" s="4">
        <v>670.4</v>
      </c>
      <c r="I29" s="4">
        <v>355.28</v>
      </c>
    </row>
    <row r="30" spans="2:9" x14ac:dyDescent="0.3">
      <c r="B30" s="2">
        <v>659463</v>
      </c>
      <c r="C30" s="3">
        <v>41281</v>
      </c>
      <c r="D30" s="2" t="s">
        <v>27</v>
      </c>
      <c r="E30" s="2" t="s">
        <v>13</v>
      </c>
      <c r="F30" s="2">
        <v>7</v>
      </c>
      <c r="G30" s="95"/>
      <c r="H30" s="4">
        <v>611.41999999999996</v>
      </c>
      <c r="I30" s="4">
        <v>324.06</v>
      </c>
    </row>
    <row r="31" spans="2:9" x14ac:dyDescent="0.3">
      <c r="B31" s="2">
        <v>659474</v>
      </c>
      <c r="C31" s="3">
        <v>41282</v>
      </c>
      <c r="D31" s="2" t="s">
        <v>27</v>
      </c>
      <c r="E31" s="2" t="s">
        <v>5</v>
      </c>
      <c r="F31" s="2">
        <v>9</v>
      </c>
      <c r="G31" s="95"/>
      <c r="H31" s="4">
        <v>962.88</v>
      </c>
      <c r="I31" s="4">
        <v>510.32</v>
      </c>
    </row>
    <row r="32" spans="2:9" x14ac:dyDescent="0.3">
      <c r="B32" s="2">
        <v>659456</v>
      </c>
      <c r="C32" s="3">
        <v>41283</v>
      </c>
      <c r="D32" s="2" t="s">
        <v>6</v>
      </c>
      <c r="E32" s="2" t="s">
        <v>7</v>
      </c>
      <c r="F32" s="2">
        <v>6</v>
      </c>
      <c r="G32" s="95"/>
      <c r="H32" s="4">
        <v>203.04</v>
      </c>
      <c r="I32" s="4">
        <v>95.4</v>
      </c>
    </row>
    <row r="33" spans="2:9" x14ac:dyDescent="0.3">
      <c r="B33" s="2">
        <v>659466</v>
      </c>
      <c r="C33" s="3">
        <v>41283</v>
      </c>
      <c r="D33" s="2" t="s">
        <v>6</v>
      </c>
      <c r="E33" s="2" t="s">
        <v>16</v>
      </c>
      <c r="F33" s="2">
        <v>7</v>
      </c>
      <c r="G33" s="95"/>
      <c r="H33" s="4">
        <v>256.2</v>
      </c>
      <c r="I33" s="4">
        <v>140.9</v>
      </c>
    </row>
    <row r="34" spans="2:9" x14ac:dyDescent="0.3">
      <c r="B34" s="2">
        <v>659448</v>
      </c>
      <c r="C34" s="3">
        <v>41284</v>
      </c>
      <c r="D34" s="2" t="s">
        <v>28</v>
      </c>
      <c r="E34" s="2" t="s">
        <v>14</v>
      </c>
      <c r="F34" s="2">
        <v>1</v>
      </c>
      <c r="G34" s="95"/>
      <c r="H34" s="4">
        <v>1360</v>
      </c>
      <c r="I34" s="4">
        <v>639.20000000000005</v>
      </c>
    </row>
    <row r="35" spans="2:9" x14ac:dyDescent="0.3">
      <c r="B35" s="2">
        <v>659461</v>
      </c>
      <c r="C35" s="3">
        <v>41284</v>
      </c>
      <c r="D35" s="2" t="s">
        <v>6</v>
      </c>
      <c r="E35" s="2" t="s">
        <v>17</v>
      </c>
      <c r="F35" s="2">
        <v>2</v>
      </c>
      <c r="G35" s="95"/>
      <c r="H35" s="4">
        <v>4309.2</v>
      </c>
      <c r="I35" s="4">
        <v>2326.9499999999998</v>
      </c>
    </row>
    <row r="36" spans="2:9" x14ac:dyDescent="0.3">
      <c r="B36" s="2">
        <v>659457</v>
      </c>
      <c r="C36" s="3">
        <v>41284</v>
      </c>
      <c r="D36" s="2" t="s">
        <v>6</v>
      </c>
      <c r="E36" s="2" t="s">
        <v>7</v>
      </c>
      <c r="F36" s="2">
        <v>10</v>
      </c>
      <c r="G36" s="95"/>
      <c r="H36" s="4">
        <v>241.28</v>
      </c>
      <c r="I36" s="4">
        <v>132.72</v>
      </c>
    </row>
    <row r="37" spans="2:9" x14ac:dyDescent="0.3">
      <c r="B37" s="2">
        <v>659454</v>
      </c>
      <c r="C37" s="3">
        <v>41285</v>
      </c>
      <c r="D37" s="2" t="s">
        <v>28</v>
      </c>
      <c r="E37" s="2" t="s">
        <v>12</v>
      </c>
      <c r="F37" s="2">
        <v>1</v>
      </c>
      <c r="G37" s="95"/>
      <c r="H37" s="4">
        <v>1672</v>
      </c>
      <c r="I37" s="4">
        <v>819.28</v>
      </c>
    </row>
    <row r="38" spans="2:9" x14ac:dyDescent="0.3">
      <c r="B38" s="2">
        <v>659479</v>
      </c>
      <c r="C38" s="3">
        <v>41285</v>
      </c>
      <c r="D38" s="2" t="s">
        <v>27</v>
      </c>
      <c r="E38" s="2" t="s">
        <v>10</v>
      </c>
      <c r="F38" s="2">
        <v>7</v>
      </c>
      <c r="G38" s="95"/>
      <c r="H38" s="4">
        <v>2631.6</v>
      </c>
      <c r="I38" s="4">
        <v>1421.04</v>
      </c>
    </row>
    <row r="39" spans="2:9" x14ac:dyDescent="0.3">
      <c r="B39" s="2">
        <v>659448</v>
      </c>
      <c r="C39" s="3">
        <v>41285</v>
      </c>
      <c r="D39" s="2" t="s">
        <v>28</v>
      </c>
      <c r="E39" s="2" t="s">
        <v>11</v>
      </c>
      <c r="F39" s="2">
        <v>2</v>
      </c>
      <c r="G39" s="95"/>
      <c r="H39" s="4">
        <v>368.72</v>
      </c>
      <c r="I39" s="4">
        <v>188.04</v>
      </c>
    </row>
    <row r="40" spans="2:9" x14ac:dyDescent="0.3">
      <c r="B40" s="2">
        <v>659465</v>
      </c>
      <c r="C40" s="3">
        <v>41285</v>
      </c>
      <c r="D40" s="2" t="s">
        <v>28</v>
      </c>
      <c r="E40" s="2" t="s">
        <v>14</v>
      </c>
      <c r="F40" s="2">
        <v>1</v>
      </c>
      <c r="G40" s="95"/>
      <c r="H40" s="4">
        <v>1632</v>
      </c>
      <c r="I40" s="4">
        <v>767.04</v>
      </c>
    </row>
    <row r="41" spans="2:9" x14ac:dyDescent="0.3">
      <c r="B41" s="2">
        <v>659480</v>
      </c>
      <c r="C41" s="3">
        <v>41285</v>
      </c>
      <c r="D41" s="2" t="s">
        <v>28</v>
      </c>
      <c r="E41" s="2" t="s">
        <v>11</v>
      </c>
      <c r="F41" s="2">
        <v>2</v>
      </c>
      <c r="G41" s="95"/>
      <c r="H41" s="4">
        <v>670.4</v>
      </c>
      <c r="I41" s="4">
        <v>341.92</v>
      </c>
    </row>
    <row r="42" spans="2:9" x14ac:dyDescent="0.3">
      <c r="B42" s="2">
        <v>659471</v>
      </c>
      <c r="C42" s="3">
        <v>41285</v>
      </c>
      <c r="D42" s="2" t="s">
        <v>6</v>
      </c>
      <c r="E42" s="2" t="s">
        <v>16</v>
      </c>
      <c r="F42" s="2">
        <v>5</v>
      </c>
      <c r="G42" s="95"/>
      <c r="H42" s="4">
        <v>39.04</v>
      </c>
      <c r="I42" s="4">
        <v>19.52</v>
      </c>
    </row>
    <row r="43" spans="2:9" x14ac:dyDescent="0.3">
      <c r="B43" s="2">
        <v>659466</v>
      </c>
      <c r="C43" s="3">
        <v>41285</v>
      </c>
      <c r="D43" s="2" t="s">
        <v>6</v>
      </c>
      <c r="E43" s="2" t="s">
        <v>7</v>
      </c>
      <c r="F43" s="2">
        <v>2</v>
      </c>
      <c r="G43" s="95"/>
      <c r="H43" s="4">
        <v>394.8</v>
      </c>
      <c r="I43" s="4">
        <v>197.4</v>
      </c>
    </row>
    <row r="44" spans="2:9" x14ac:dyDescent="0.3">
      <c r="B44" s="2">
        <v>659475</v>
      </c>
      <c r="C44" s="3">
        <v>41285</v>
      </c>
      <c r="D44" s="2" t="s">
        <v>28</v>
      </c>
      <c r="E44" s="2" t="s">
        <v>11</v>
      </c>
      <c r="F44" s="2">
        <v>1</v>
      </c>
      <c r="G44" s="95"/>
      <c r="H44" s="4">
        <v>219.06</v>
      </c>
      <c r="I44" s="4">
        <v>118.3</v>
      </c>
    </row>
    <row r="45" spans="2:9" x14ac:dyDescent="0.3">
      <c r="B45" s="2">
        <v>659465</v>
      </c>
      <c r="C45" s="3">
        <v>41285</v>
      </c>
      <c r="D45" s="2" t="s">
        <v>27</v>
      </c>
      <c r="E45" s="2" t="s">
        <v>5</v>
      </c>
      <c r="F45" s="2">
        <v>10</v>
      </c>
      <c r="G45" s="95"/>
      <c r="H45" s="4">
        <v>200.6</v>
      </c>
      <c r="I45" s="4">
        <v>106.32</v>
      </c>
    </row>
    <row r="46" spans="2:9" x14ac:dyDescent="0.3">
      <c r="B46" s="2">
        <v>659476</v>
      </c>
      <c r="C46" s="3">
        <v>41286</v>
      </c>
      <c r="D46" s="2" t="s">
        <v>27</v>
      </c>
      <c r="E46" s="2" t="s">
        <v>13</v>
      </c>
      <c r="F46" s="2">
        <v>3</v>
      </c>
      <c r="G46" s="95"/>
      <c r="H46" s="4">
        <v>1150</v>
      </c>
      <c r="I46" s="4">
        <v>552</v>
      </c>
    </row>
    <row r="47" spans="2:9" x14ac:dyDescent="0.3">
      <c r="B47" s="2">
        <v>659443</v>
      </c>
      <c r="C47" s="3">
        <v>41286</v>
      </c>
      <c r="D47" s="2" t="s">
        <v>28</v>
      </c>
      <c r="E47" s="2" t="s">
        <v>12</v>
      </c>
      <c r="F47" s="2">
        <v>10</v>
      </c>
      <c r="G47" s="95"/>
      <c r="H47" s="4">
        <v>495</v>
      </c>
      <c r="I47" s="4">
        <v>237.6</v>
      </c>
    </row>
    <row r="48" spans="2:9" x14ac:dyDescent="0.3">
      <c r="B48" s="2">
        <v>659458</v>
      </c>
      <c r="C48" s="3">
        <v>41286</v>
      </c>
      <c r="D48" s="2" t="s">
        <v>6</v>
      </c>
      <c r="E48" s="2" t="s">
        <v>16</v>
      </c>
      <c r="F48" s="2">
        <v>5</v>
      </c>
      <c r="G48" s="95"/>
      <c r="H48" s="4">
        <v>51.24</v>
      </c>
      <c r="I48" s="4">
        <v>27.16</v>
      </c>
    </row>
    <row r="49" spans="2:9" x14ac:dyDescent="0.3">
      <c r="B49" s="2">
        <v>659480</v>
      </c>
      <c r="C49" s="3">
        <v>41286</v>
      </c>
      <c r="D49" s="2" t="s">
        <v>6</v>
      </c>
      <c r="E49" s="2" t="s">
        <v>16</v>
      </c>
      <c r="F49" s="2">
        <v>4</v>
      </c>
      <c r="G49" s="95"/>
      <c r="H49" s="4">
        <v>40.26</v>
      </c>
      <c r="I49" s="4">
        <v>21.33</v>
      </c>
    </row>
    <row r="50" spans="2:9" x14ac:dyDescent="0.3">
      <c r="B50" s="2">
        <v>659451</v>
      </c>
      <c r="C50" s="3">
        <v>41286</v>
      </c>
      <c r="D50" s="2" t="s">
        <v>28</v>
      </c>
      <c r="E50" s="2" t="s">
        <v>14</v>
      </c>
      <c r="F50" s="2">
        <v>3</v>
      </c>
      <c r="G50" s="95"/>
      <c r="H50" s="4">
        <v>60.6</v>
      </c>
      <c r="I50" s="4">
        <v>28.5</v>
      </c>
    </row>
    <row r="51" spans="2:9" x14ac:dyDescent="0.3">
      <c r="B51" s="2">
        <v>659472</v>
      </c>
      <c r="C51" s="3">
        <v>41286</v>
      </c>
      <c r="D51" s="2" t="s">
        <v>28</v>
      </c>
      <c r="E51" s="2" t="s">
        <v>11</v>
      </c>
      <c r="F51" s="2">
        <v>2</v>
      </c>
      <c r="G51" s="95"/>
      <c r="H51" s="4">
        <v>2394</v>
      </c>
      <c r="I51" s="4">
        <v>1292.76</v>
      </c>
    </row>
    <row r="52" spans="2:9" x14ac:dyDescent="0.3">
      <c r="B52" s="2">
        <v>659455</v>
      </c>
      <c r="C52" s="3">
        <v>41287</v>
      </c>
      <c r="D52" s="2" t="s">
        <v>6</v>
      </c>
      <c r="E52" s="2" t="s">
        <v>16</v>
      </c>
      <c r="F52" s="2">
        <v>5</v>
      </c>
      <c r="G52" s="95"/>
      <c r="H52" s="4">
        <v>207.36</v>
      </c>
      <c r="I52" s="4">
        <v>107.82</v>
      </c>
    </row>
    <row r="53" spans="2:9" x14ac:dyDescent="0.3">
      <c r="B53" s="2">
        <v>659451</v>
      </c>
      <c r="C53" s="3">
        <v>41287</v>
      </c>
      <c r="D53" s="2" t="s">
        <v>6</v>
      </c>
      <c r="E53" s="2" t="s">
        <v>17</v>
      </c>
      <c r="F53" s="2">
        <v>2</v>
      </c>
      <c r="G53" s="95"/>
      <c r="H53" s="4">
        <v>1316.7</v>
      </c>
      <c r="I53" s="4">
        <v>618.84</v>
      </c>
    </row>
    <row r="54" spans="2:9" x14ac:dyDescent="0.3">
      <c r="B54" s="2">
        <v>659457</v>
      </c>
      <c r="C54" s="3">
        <v>41288</v>
      </c>
      <c r="D54" s="2" t="s">
        <v>6</v>
      </c>
      <c r="E54" s="2" t="s">
        <v>16</v>
      </c>
      <c r="F54" s="2">
        <v>3</v>
      </c>
      <c r="G54" s="95"/>
      <c r="H54" s="4">
        <v>183</v>
      </c>
      <c r="I54" s="4">
        <v>95.2</v>
      </c>
    </row>
  </sheetData>
  <mergeCells count="2">
    <mergeCell ref="B1:K2"/>
    <mergeCell ref="G3:J3"/>
  </mergeCells>
  <dataValidations count="2">
    <dataValidation type="list" allowBlank="1" showInputMessage="1" showErrorMessage="1" sqref="B4" xr:uid="{2E95EF29-CC97-4F3E-ACD2-F708A44FFF72}">
      <formula1>$D$8:$D$54</formula1>
    </dataValidation>
    <dataValidation type="list" allowBlank="1" showInputMessage="1" showErrorMessage="1" sqref="C4" xr:uid="{B1A36295-5820-47F3-9977-A56DCFDEEC84}">
      <formula1>$E$8:$E$54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49B78-4136-456B-A696-FE0ACB61B467}">
  <sheetPr>
    <tabColor rgb="FFFF0000"/>
  </sheetPr>
  <dimension ref="B1:L54"/>
  <sheetViews>
    <sheetView tabSelected="1" topLeftCell="A2" zoomScale="128" workbookViewId="0">
      <selection activeCell="A6" sqref="A6:I54"/>
    </sheetView>
  </sheetViews>
  <sheetFormatPr defaultRowHeight="14.4" x14ac:dyDescent="0.3"/>
  <cols>
    <col min="1" max="1" width="8.6640625" bestFit="1" customWidth="1"/>
    <col min="2" max="2" width="10.33203125" bestFit="1" customWidth="1"/>
    <col min="3" max="3" width="12.77734375" bestFit="1" customWidth="1"/>
    <col min="4" max="4" width="26.5546875" bestFit="1" customWidth="1"/>
    <col min="5" max="5" width="22.109375" bestFit="1" customWidth="1"/>
    <col min="6" max="6" width="15.33203125" customWidth="1"/>
    <col min="7" max="7" width="9.5546875" bestFit="1" customWidth="1"/>
    <col min="8" max="8" width="10.109375" bestFit="1" customWidth="1"/>
    <col min="9" max="10" width="9.5546875" bestFit="1" customWidth="1"/>
    <col min="11" max="11" width="13.5546875" customWidth="1"/>
  </cols>
  <sheetData>
    <row r="1" spans="2:12" x14ac:dyDescent="0.3">
      <c r="B1" s="121" t="s">
        <v>123</v>
      </c>
      <c r="C1" s="121"/>
      <c r="D1" s="121"/>
      <c r="E1" s="121"/>
      <c r="F1" s="121"/>
      <c r="G1" s="121"/>
      <c r="H1" s="121"/>
      <c r="I1" s="121"/>
      <c r="J1" s="121"/>
      <c r="K1" s="121"/>
    </row>
    <row r="2" spans="2:12" x14ac:dyDescent="0.3">
      <c r="B2" s="121"/>
      <c r="C2" s="121"/>
      <c r="D2" s="121"/>
      <c r="E2" s="121"/>
      <c r="F2" s="121"/>
      <c r="G2" s="122"/>
      <c r="H2" s="122"/>
      <c r="I2" s="122"/>
      <c r="J2" s="122"/>
      <c r="K2" s="121"/>
    </row>
    <row r="3" spans="2:12" x14ac:dyDescent="0.3">
      <c r="B3" s="99" t="s">
        <v>1</v>
      </c>
      <c r="C3" s="100" t="s">
        <v>2</v>
      </c>
      <c r="D3" s="101" t="s">
        <v>26</v>
      </c>
      <c r="E3" s="102" t="s">
        <v>0</v>
      </c>
      <c r="F3" s="103" t="s">
        <v>3</v>
      </c>
      <c r="G3" s="123" t="s">
        <v>116</v>
      </c>
      <c r="H3" s="123"/>
      <c r="I3" s="123"/>
      <c r="J3" s="123"/>
      <c r="K3" s="104" t="s">
        <v>4</v>
      </c>
    </row>
    <row r="4" spans="2:12" ht="57.6" x14ac:dyDescent="0.3">
      <c r="B4" s="69" t="s">
        <v>6</v>
      </c>
      <c r="C4" s="69" t="s">
        <v>5</v>
      </c>
      <c r="D4" s="69" t="s">
        <v>113</v>
      </c>
      <c r="E4" s="69" t="s">
        <v>114</v>
      </c>
      <c r="F4" s="97" t="s">
        <v>121</v>
      </c>
      <c r="G4" s="105" t="s">
        <v>115</v>
      </c>
      <c r="H4" s="96" t="s">
        <v>117</v>
      </c>
      <c r="I4" s="96" t="s">
        <v>120</v>
      </c>
      <c r="J4" s="96" t="s">
        <v>118</v>
      </c>
      <c r="K4" s="98" t="s">
        <v>122</v>
      </c>
    </row>
    <row r="5" spans="2:12" x14ac:dyDescent="0.3">
      <c r="H5" s="82"/>
      <c r="I5" s="82"/>
      <c r="J5" s="82"/>
    </row>
    <row r="7" spans="2:12" x14ac:dyDescent="0.3">
      <c r="B7" s="106" t="s">
        <v>26</v>
      </c>
      <c r="C7" s="106" t="s">
        <v>0</v>
      </c>
      <c r="D7" s="106" t="s">
        <v>1</v>
      </c>
      <c r="E7" s="106" t="s">
        <v>2</v>
      </c>
      <c r="F7" s="106" t="s">
        <v>116</v>
      </c>
      <c r="G7" s="106" t="s">
        <v>119</v>
      </c>
      <c r="H7" s="106" t="s">
        <v>3</v>
      </c>
      <c r="I7" s="106" t="s">
        <v>4</v>
      </c>
    </row>
    <row r="8" spans="2:12" x14ac:dyDescent="0.3">
      <c r="B8" s="2">
        <v>659461</v>
      </c>
      <c r="C8" s="3">
        <v>41275</v>
      </c>
      <c r="D8" s="2" t="s">
        <v>27</v>
      </c>
      <c r="E8" s="2" t="s">
        <v>5</v>
      </c>
      <c r="F8" s="2">
        <v>1</v>
      </c>
      <c r="G8" s="95">
        <f t="shared" ref="G8:G54" si="0">F8</f>
        <v>1</v>
      </c>
      <c r="H8" s="4">
        <v>1232.44</v>
      </c>
      <c r="I8" s="4">
        <v>591.58000000000004</v>
      </c>
      <c r="K8" s="94"/>
    </row>
    <row r="9" spans="2:12" x14ac:dyDescent="0.3">
      <c r="B9" s="2">
        <v>659473</v>
      </c>
      <c r="C9" s="3">
        <v>41276</v>
      </c>
      <c r="D9" s="2" t="s">
        <v>6</v>
      </c>
      <c r="E9" s="2" t="s">
        <v>7</v>
      </c>
      <c r="F9" s="2">
        <v>3</v>
      </c>
      <c r="G9" s="95">
        <f t="shared" si="0"/>
        <v>3</v>
      </c>
      <c r="H9" s="4">
        <v>451.2</v>
      </c>
      <c r="I9" s="4">
        <v>212.08</v>
      </c>
    </row>
    <row r="10" spans="2:12" x14ac:dyDescent="0.3">
      <c r="B10" s="2">
        <v>659459</v>
      </c>
      <c r="C10" s="3">
        <v>41276</v>
      </c>
      <c r="D10" s="2" t="s">
        <v>27</v>
      </c>
      <c r="E10" s="2" t="s">
        <v>8</v>
      </c>
      <c r="F10" s="2">
        <v>10</v>
      </c>
      <c r="G10" s="95">
        <f t="shared" si="0"/>
        <v>10</v>
      </c>
      <c r="H10" s="4">
        <v>357.5</v>
      </c>
      <c r="I10" s="4">
        <v>193.06</v>
      </c>
      <c r="L10" s="94"/>
    </row>
    <row r="11" spans="2:12" x14ac:dyDescent="0.3">
      <c r="B11" s="2">
        <v>659475</v>
      </c>
      <c r="C11" s="3">
        <v>41276</v>
      </c>
      <c r="D11" s="2" t="s">
        <v>6</v>
      </c>
      <c r="E11" s="2" t="s">
        <v>9</v>
      </c>
      <c r="F11" s="2">
        <v>6</v>
      </c>
      <c r="G11" s="95">
        <f t="shared" si="0"/>
        <v>6</v>
      </c>
      <c r="H11" s="4">
        <v>1957.6</v>
      </c>
      <c r="I11" s="4">
        <v>1037.55</v>
      </c>
      <c r="L11" s="94"/>
    </row>
    <row r="12" spans="2:12" x14ac:dyDescent="0.3">
      <c r="B12" s="2">
        <v>659462</v>
      </c>
      <c r="C12" s="3">
        <v>41277</v>
      </c>
      <c r="D12" s="2" t="s">
        <v>27</v>
      </c>
      <c r="E12" s="2" t="s">
        <v>5</v>
      </c>
      <c r="F12" s="2">
        <v>3</v>
      </c>
      <c r="G12" s="95">
        <f t="shared" si="0"/>
        <v>3</v>
      </c>
      <c r="H12" s="4">
        <v>561.67999999999995</v>
      </c>
      <c r="I12" s="4">
        <v>303.31</v>
      </c>
      <c r="L12" s="94"/>
    </row>
    <row r="13" spans="2:12" x14ac:dyDescent="0.3">
      <c r="B13" s="2">
        <v>659457</v>
      </c>
      <c r="C13" s="3">
        <v>41277</v>
      </c>
      <c r="D13" s="2" t="s">
        <v>27</v>
      </c>
      <c r="E13" s="2" t="s">
        <v>8</v>
      </c>
      <c r="F13" s="2">
        <v>10</v>
      </c>
      <c r="G13" s="95">
        <f t="shared" si="0"/>
        <v>10</v>
      </c>
      <c r="H13" s="4">
        <v>1980</v>
      </c>
      <c r="I13" s="4">
        <v>990</v>
      </c>
    </row>
    <row r="14" spans="2:12" x14ac:dyDescent="0.3">
      <c r="B14" s="2">
        <v>659452</v>
      </c>
      <c r="C14" s="3">
        <v>41278</v>
      </c>
      <c r="D14" s="2" t="s">
        <v>27</v>
      </c>
      <c r="E14" s="2" t="s">
        <v>5</v>
      </c>
      <c r="F14" s="2">
        <v>10</v>
      </c>
      <c r="G14" s="95">
        <f t="shared" si="0"/>
        <v>10</v>
      </c>
      <c r="H14" s="4">
        <v>2772</v>
      </c>
      <c r="I14" s="4">
        <v>1469.16</v>
      </c>
    </row>
    <row r="15" spans="2:12" x14ac:dyDescent="0.3">
      <c r="B15" s="2">
        <v>659440</v>
      </c>
      <c r="C15" s="3">
        <v>41279</v>
      </c>
      <c r="D15" s="2" t="s">
        <v>27</v>
      </c>
      <c r="E15" s="2" t="s">
        <v>5</v>
      </c>
      <c r="F15" s="2">
        <v>9</v>
      </c>
      <c r="G15" s="95">
        <f t="shared" si="0"/>
        <v>9</v>
      </c>
      <c r="H15" s="4">
        <v>4536</v>
      </c>
      <c r="I15" s="4">
        <v>2358.7199999999998</v>
      </c>
    </row>
    <row r="16" spans="2:12" x14ac:dyDescent="0.3">
      <c r="B16" s="2">
        <v>659467</v>
      </c>
      <c r="C16" s="3">
        <v>41279</v>
      </c>
      <c r="D16" s="2" t="s">
        <v>27</v>
      </c>
      <c r="E16" s="2" t="s">
        <v>10</v>
      </c>
      <c r="F16" s="2">
        <v>7</v>
      </c>
      <c r="G16" s="95">
        <f t="shared" si="0"/>
        <v>7</v>
      </c>
      <c r="H16" s="4">
        <v>503.1</v>
      </c>
      <c r="I16" s="4">
        <v>251.56</v>
      </c>
    </row>
    <row r="17" spans="2:9" x14ac:dyDescent="0.3">
      <c r="B17" s="2">
        <v>659453</v>
      </c>
      <c r="C17" s="3">
        <v>41279</v>
      </c>
      <c r="D17" s="2" t="s">
        <v>6</v>
      </c>
      <c r="E17" s="2" t="s">
        <v>9</v>
      </c>
      <c r="F17" s="2">
        <v>10</v>
      </c>
      <c r="G17" s="95">
        <f t="shared" si="0"/>
        <v>10</v>
      </c>
      <c r="H17" s="4">
        <v>3938.4</v>
      </c>
      <c r="I17" s="4">
        <v>1890.4</v>
      </c>
    </row>
    <row r="18" spans="2:9" x14ac:dyDescent="0.3">
      <c r="B18" s="2">
        <v>659446</v>
      </c>
      <c r="C18" s="3">
        <v>41279</v>
      </c>
      <c r="D18" s="2" t="s">
        <v>27</v>
      </c>
      <c r="E18" s="2" t="s">
        <v>10</v>
      </c>
      <c r="F18" s="2">
        <v>6</v>
      </c>
      <c r="G18" s="95">
        <f t="shared" si="0"/>
        <v>6</v>
      </c>
      <c r="H18" s="4">
        <v>464.96</v>
      </c>
      <c r="I18" s="4">
        <v>237.12</v>
      </c>
    </row>
    <row r="19" spans="2:9" x14ac:dyDescent="0.3">
      <c r="B19" s="2">
        <v>659450</v>
      </c>
      <c r="C19" s="3">
        <v>41279</v>
      </c>
      <c r="D19" s="2" t="s">
        <v>27</v>
      </c>
      <c r="E19" s="2" t="s">
        <v>8</v>
      </c>
      <c r="F19" s="2">
        <v>5</v>
      </c>
      <c r="G19" s="95">
        <f t="shared" si="0"/>
        <v>5</v>
      </c>
      <c r="H19" s="4">
        <v>1650</v>
      </c>
      <c r="I19" s="4">
        <v>792</v>
      </c>
    </row>
    <row r="20" spans="2:9" x14ac:dyDescent="0.3">
      <c r="B20" s="2">
        <v>659470</v>
      </c>
      <c r="C20" s="3">
        <v>41279</v>
      </c>
      <c r="D20" s="2" t="s">
        <v>28</v>
      </c>
      <c r="E20" s="2" t="s">
        <v>11</v>
      </c>
      <c r="F20" s="2">
        <v>5</v>
      </c>
      <c r="G20" s="95">
        <f t="shared" si="0"/>
        <v>5</v>
      </c>
      <c r="H20" s="4">
        <v>114</v>
      </c>
      <c r="I20" s="4">
        <v>55.86</v>
      </c>
    </row>
    <row r="21" spans="2:9" x14ac:dyDescent="0.3">
      <c r="B21" s="2">
        <v>659443</v>
      </c>
      <c r="C21" s="3">
        <v>41279</v>
      </c>
      <c r="D21" s="2" t="s">
        <v>28</v>
      </c>
      <c r="E21" s="2" t="s">
        <v>12</v>
      </c>
      <c r="F21" s="2">
        <v>7</v>
      </c>
      <c r="G21" s="95">
        <f t="shared" si="0"/>
        <v>7</v>
      </c>
      <c r="H21" s="4">
        <v>1008.72</v>
      </c>
      <c r="I21" s="4">
        <v>504.36</v>
      </c>
    </row>
    <row r="22" spans="2:9" x14ac:dyDescent="0.3">
      <c r="B22" s="2">
        <v>659472</v>
      </c>
      <c r="C22" s="3">
        <v>41279</v>
      </c>
      <c r="D22" s="2" t="s">
        <v>28</v>
      </c>
      <c r="E22" s="2" t="s">
        <v>11</v>
      </c>
      <c r="F22" s="2">
        <v>7</v>
      </c>
      <c r="G22" s="95">
        <f t="shared" si="0"/>
        <v>7</v>
      </c>
      <c r="H22" s="4">
        <v>730.2</v>
      </c>
      <c r="I22" s="4">
        <v>365.1</v>
      </c>
    </row>
    <row r="23" spans="2:9" x14ac:dyDescent="0.3">
      <c r="B23" s="2">
        <v>659467</v>
      </c>
      <c r="C23" s="3">
        <v>41279</v>
      </c>
      <c r="D23" s="2" t="s">
        <v>27</v>
      </c>
      <c r="E23" s="2" t="s">
        <v>13</v>
      </c>
      <c r="F23" s="2">
        <v>7</v>
      </c>
      <c r="G23" s="95">
        <f t="shared" si="0"/>
        <v>7</v>
      </c>
      <c r="H23" s="4">
        <v>3174</v>
      </c>
      <c r="I23" s="4">
        <v>1713.96</v>
      </c>
    </row>
    <row r="24" spans="2:9" x14ac:dyDescent="0.3">
      <c r="B24" s="2">
        <v>659478</v>
      </c>
      <c r="C24" s="3">
        <v>41279</v>
      </c>
      <c r="D24" s="2" t="s">
        <v>27</v>
      </c>
      <c r="E24" s="2" t="s">
        <v>5</v>
      </c>
      <c r="F24" s="2">
        <v>1</v>
      </c>
      <c r="G24" s="95">
        <f t="shared" si="0"/>
        <v>1</v>
      </c>
      <c r="H24" s="4">
        <v>2304</v>
      </c>
      <c r="I24" s="4">
        <v>1082.8800000000001</v>
      </c>
    </row>
    <row r="25" spans="2:9" x14ac:dyDescent="0.3">
      <c r="B25" s="2">
        <v>659455</v>
      </c>
      <c r="C25" s="3">
        <v>41279</v>
      </c>
      <c r="D25" s="2" t="s">
        <v>27</v>
      </c>
      <c r="E25" s="2" t="s">
        <v>5</v>
      </c>
      <c r="F25" s="2">
        <v>10</v>
      </c>
      <c r="G25" s="95">
        <f t="shared" si="0"/>
        <v>10</v>
      </c>
      <c r="H25" s="4">
        <v>2744.98</v>
      </c>
      <c r="I25" s="4">
        <v>1317.61</v>
      </c>
    </row>
    <row r="26" spans="2:9" x14ac:dyDescent="0.3">
      <c r="B26" s="2">
        <v>659442</v>
      </c>
      <c r="C26" s="3">
        <v>41279</v>
      </c>
      <c r="D26" s="2" t="s">
        <v>27</v>
      </c>
      <c r="E26" s="2" t="s">
        <v>5</v>
      </c>
      <c r="F26" s="2">
        <v>9</v>
      </c>
      <c r="G26" s="95">
        <f t="shared" si="0"/>
        <v>9</v>
      </c>
      <c r="H26" s="4">
        <v>3361.2</v>
      </c>
      <c r="I26" s="4">
        <v>1579.75</v>
      </c>
    </row>
    <row r="27" spans="2:9" x14ac:dyDescent="0.3">
      <c r="B27" s="2">
        <v>659456</v>
      </c>
      <c r="C27" s="3">
        <v>41279</v>
      </c>
      <c r="D27" s="2" t="s">
        <v>28</v>
      </c>
      <c r="E27" s="2" t="s">
        <v>14</v>
      </c>
      <c r="F27" s="2">
        <v>10</v>
      </c>
      <c r="G27" s="95">
        <f t="shared" si="0"/>
        <v>10</v>
      </c>
      <c r="H27" s="4">
        <v>48.48</v>
      </c>
      <c r="I27" s="4">
        <v>25.2</v>
      </c>
    </row>
    <row r="28" spans="2:9" x14ac:dyDescent="0.3">
      <c r="B28" s="2">
        <v>659445</v>
      </c>
      <c r="C28" s="3">
        <v>41279</v>
      </c>
      <c r="D28" s="2" t="s">
        <v>28</v>
      </c>
      <c r="E28" s="2" t="s">
        <v>15</v>
      </c>
      <c r="F28" s="2">
        <v>6</v>
      </c>
      <c r="G28" s="95">
        <f t="shared" si="0"/>
        <v>6</v>
      </c>
      <c r="H28" s="4">
        <v>1664</v>
      </c>
      <c r="I28" s="4">
        <v>881.92</v>
      </c>
    </row>
    <row r="29" spans="2:9" x14ac:dyDescent="0.3">
      <c r="B29" s="2">
        <v>659471</v>
      </c>
      <c r="C29" s="3">
        <v>41280</v>
      </c>
      <c r="D29" s="2" t="s">
        <v>28</v>
      </c>
      <c r="E29" s="2" t="s">
        <v>11</v>
      </c>
      <c r="F29" s="2">
        <v>1</v>
      </c>
      <c r="G29" s="95">
        <f t="shared" si="0"/>
        <v>1</v>
      </c>
      <c r="H29" s="4">
        <v>670.4</v>
      </c>
      <c r="I29" s="4">
        <v>355.28</v>
      </c>
    </row>
    <row r="30" spans="2:9" x14ac:dyDescent="0.3">
      <c r="B30" s="2">
        <v>659463</v>
      </c>
      <c r="C30" s="3">
        <v>41281</v>
      </c>
      <c r="D30" s="2" t="s">
        <v>27</v>
      </c>
      <c r="E30" s="2" t="s">
        <v>13</v>
      </c>
      <c r="F30" s="2">
        <v>7</v>
      </c>
      <c r="G30" s="95">
        <f t="shared" si="0"/>
        <v>7</v>
      </c>
      <c r="H30" s="4">
        <v>611.41999999999996</v>
      </c>
      <c r="I30" s="4">
        <v>324.06</v>
      </c>
    </row>
    <row r="31" spans="2:9" x14ac:dyDescent="0.3">
      <c r="B31" s="2">
        <v>659474</v>
      </c>
      <c r="C31" s="3">
        <v>41282</v>
      </c>
      <c r="D31" s="2" t="s">
        <v>27</v>
      </c>
      <c r="E31" s="2" t="s">
        <v>5</v>
      </c>
      <c r="F31" s="2">
        <v>9</v>
      </c>
      <c r="G31" s="95">
        <f t="shared" si="0"/>
        <v>9</v>
      </c>
      <c r="H31" s="4">
        <v>962.88</v>
      </c>
      <c r="I31" s="4">
        <v>510.32</v>
      </c>
    </row>
    <row r="32" spans="2:9" x14ac:dyDescent="0.3">
      <c r="B32" s="2">
        <v>659456</v>
      </c>
      <c r="C32" s="3">
        <v>41283</v>
      </c>
      <c r="D32" s="2" t="s">
        <v>6</v>
      </c>
      <c r="E32" s="2" t="s">
        <v>7</v>
      </c>
      <c r="F32" s="2">
        <v>6</v>
      </c>
      <c r="G32" s="95">
        <f t="shared" si="0"/>
        <v>6</v>
      </c>
      <c r="H32" s="4">
        <v>203.04</v>
      </c>
      <c r="I32" s="4">
        <v>95.4</v>
      </c>
    </row>
    <row r="33" spans="2:9" x14ac:dyDescent="0.3">
      <c r="B33" s="2">
        <v>659466</v>
      </c>
      <c r="C33" s="3">
        <v>41283</v>
      </c>
      <c r="D33" s="2" t="s">
        <v>6</v>
      </c>
      <c r="E33" s="2" t="s">
        <v>16</v>
      </c>
      <c r="F33" s="2">
        <v>7</v>
      </c>
      <c r="G33" s="95">
        <f t="shared" si="0"/>
        <v>7</v>
      </c>
      <c r="H33" s="4">
        <v>256.2</v>
      </c>
      <c r="I33" s="4">
        <v>140.9</v>
      </c>
    </row>
    <row r="34" spans="2:9" x14ac:dyDescent="0.3">
      <c r="B34" s="2">
        <v>659448</v>
      </c>
      <c r="C34" s="3">
        <v>41284</v>
      </c>
      <c r="D34" s="2" t="s">
        <v>28</v>
      </c>
      <c r="E34" s="2" t="s">
        <v>14</v>
      </c>
      <c r="F34" s="2">
        <v>1</v>
      </c>
      <c r="G34" s="95">
        <f t="shared" si="0"/>
        <v>1</v>
      </c>
      <c r="H34" s="4">
        <v>1360</v>
      </c>
      <c r="I34" s="4">
        <v>639.20000000000005</v>
      </c>
    </row>
    <row r="35" spans="2:9" x14ac:dyDescent="0.3">
      <c r="B35" s="2">
        <v>659461</v>
      </c>
      <c r="C35" s="3">
        <v>41284</v>
      </c>
      <c r="D35" s="2" t="s">
        <v>6</v>
      </c>
      <c r="E35" s="2" t="s">
        <v>17</v>
      </c>
      <c r="F35" s="2">
        <v>2</v>
      </c>
      <c r="G35" s="95">
        <f t="shared" si="0"/>
        <v>2</v>
      </c>
      <c r="H35" s="4">
        <v>4309.2</v>
      </c>
      <c r="I35" s="4">
        <v>2326.9499999999998</v>
      </c>
    </row>
    <row r="36" spans="2:9" x14ac:dyDescent="0.3">
      <c r="B36" s="2">
        <v>659457</v>
      </c>
      <c r="C36" s="3">
        <v>41284</v>
      </c>
      <c r="D36" s="2" t="s">
        <v>6</v>
      </c>
      <c r="E36" s="2" t="s">
        <v>7</v>
      </c>
      <c r="F36" s="2">
        <v>10</v>
      </c>
      <c r="G36" s="95">
        <f t="shared" si="0"/>
        <v>10</v>
      </c>
      <c r="H36" s="4">
        <v>241.28</v>
      </c>
      <c r="I36" s="4">
        <v>132.72</v>
      </c>
    </row>
    <row r="37" spans="2:9" x14ac:dyDescent="0.3">
      <c r="B37" s="2">
        <v>659454</v>
      </c>
      <c r="C37" s="3">
        <v>41285</v>
      </c>
      <c r="D37" s="2" t="s">
        <v>28</v>
      </c>
      <c r="E37" s="2" t="s">
        <v>12</v>
      </c>
      <c r="F37" s="2">
        <v>1</v>
      </c>
      <c r="G37" s="95">
        <f t="shared" si="0"/>
        <v>1</v>
      </c>
      <c r="H37" s="4">
        <v>1672</v>
      </c>
      <c r="I37" s="4">
        <v>819.28</v>
      </c>
    </row>
    <row r="38" spans="2:9" x14ac:dyDescent="0.3">
      <c r="B38" s="2">
        <v>659479</v>
      </c>
      <c r="C38" s="3">
        <v>41285</v>
      </c>
      <c r="D38" s="2" t="s">
        <v>27</v>
      </c>
      <c r="E38" s="2" t="s">
        <v>10</v>
      </c>
      <c r="F38" s="2">
        <v>7</v>
      </c>
      <c r="G38" s="95">
        <f t="shared" si="0"/>
        <v>7</v>
      </c>
      <c r="H38" s="4">
        <v>2631.6</v>
      </c>
      <c r="I38" s="4">
        <v>1421.04</v>
      </c>
    </row>
    <row r="39" spans="2:9" x14ac:dyDescent="0.3">
      <c r="B39" s="2">
        <v>659448</v>
      </c>
      <c r="C39" s="3">
        <v>41285</v>
      </c>
      <c r="D39" s="2" t="s">
        <v>28</v>
      </c>
      <c r="E39" s="2" t="s">
        <v>11</v>
      </c>
      <c r="F39" s="2">
        <v>2</v>
      </c>
      <c r="G39" s="95">
        <f t="shared" si="0"/>
        <v>2</v>
      </c>
      <c r="H39" s="4">
        <v>368.72</v>
      </c>
      <c r="I39" s="4">
        <v>188.04</v>
      </c>
    </row>
    <row r="40" spans="2:9" x14ac:dyDescent="0.3">
      <c r="B40" s="2">
        <v>659465</v>
      </c>
      <c r="C40" s="3">
        <v>41285</v>
      </c>
      <c r="D40" s="2" t="s">
        <v>28</v>
      </c>
      <c r="E40" s="2" t="s">
        <v>14</v>
      </c>
      <c r="F40" s="2">
        <v>1</v>
      </c>
      <c r="G40" s="95">
        <f t="shared" si="0"/>
        <v>1</v>
      </c>
      <c r="H40" s="4">
        <v>1632</v>
      </c>
      <c r="I40" s="4">
        <v>767.04</v>
      </c>
    </row>
    <row r="41" spans="2:9" x14ac:dyDescent="0.3">
      <c r="B41" s="2">
        <v>659480</v>
      </c>
      <c r="C41" s="3">
        <v>41285</v>
      </c>
      <c r="D41" s="2" t="s">
        <v>28</v>
      </c>
      <c r="E41" s="2" t="s">
        <v>11</v>
      </c>
      <c r="F41" s="2">
        <v>2</v>
      </c>
      <c r="G41" s="95">
        <f t="shared" si="0"/>
        <v>2</v>
      </c>
      <c r="H41" s="4">
        <v>670.4</v>
      </c>
      <c r="I41" s="4">
        <v>341.92</v>
      </c>
    </row>
    <row r="42" spans="2:9" x14ac:dyDescent="0.3">
      <c r="B42" s="2">
        <v>659471</v>
      </c>
      <c r="C42" s="3">
        <v>41285</v>
      </c>
      <c r="D42" s="2" t="s">
        <v>6</v>
      </c>
      <c r="E42" s="2" t="s">
        <v>16</v>
      </c>
      <c r="F42" s="2">
        <v>5</v>
      </c>
      <c r="G42" s="95">
        <f t="shared" si="0"/>
        <v>5</v>
      </c>
      <c r="H42" s="4">
        <v>39.04</v>
      </c>
      <c r="I42" s="4">
        <v>19.52</v>
      </c>
    </row>
    <row r="43" spans="2:9" x14ac:dyDescent="0.3">
      <c r="B43" s="2">
        <v>659466</v>
      </c>
      <c r="C43" s="3">
        <v>41285</v>
      </c>
      <c r="D43" s="2" t="s">
        <v>6</v>
      </c>
      <c r="E43" s="2" t="s">
        <v>7</v>
      </c>
      <c r="F43" s="2">
        <v>2</v>
      </c>
      <c r="G43" s="95">
        <f t="shared" si="0"/>
        <v>2</v>
      </c>
      <c r="H43" s="4">
        <v>394.8</v>
      </c>
      <c r="I43" s="4">
        <v>197.4</v>
      </c>
    </row>
    <row r="44" spans="2:9" x14ac:dyDescent="0.3">
      <c r="B44" s="2">
        <v>659475</v>
      </c>
      <c r="C44" s="3">
        <v>41285</v>
      </c>
      <c r="D44" s="2" t="s">
        <v>28</v>
      </c>
      <c r="E44" s="2" t="s">
        <v>11</v>
      </c>
      <c r="F44" s="2">
        <v>1</v>
      </c>
      <c r="G44" s="95">
        <f t="shared" si="0"/>
        <v>1</v>
      </c>
      <c r="H44" s="4">
        <v>219.06</v>
      </c>
      <c r="I44" s="4">
        <v>118.3</v>
      </c>
    </row>
    <row r="45" spans="2:9" x14ac:dyDescent="0.3">
      <c r="B45" s="2">
        <v>659465</v>
      </c>
      <c r="C45" s="3">
        <v>41285</v>
      </c>
      <c r="D45" s="2" t="s">
        <v>27</v>
      </c>
      <c r="E45" s="2" t="s">
        <v>5</v>
      </c>
      <c r="F45" s="2">
        <v>10</v>
      </c>
      <c r="G45" s="95">
        <f t="shared" si="0"/>
        <v>10</v>
      </c>
      <c r="H45" s="4">
        <v>200.6</v>
      </c>
      <c r="I45" s="4">
        <v>106.32</v>
      </c>
    </row>
    <row r="46" spans="2:9" x14ac:dyDescent="0.3">
      <c r="B46" s="2">
        <v>659476</v>
      </c>
      <c r="C46" s="3">
        <v>41286</v>
      </c>
      <c r="D46" s="2" t="s">
        <v>27</v>
      </c>
      <c r="E46" s="2" t="s">
        <v>13</v>
      </c>
      <c r="F46" s="2">
        <v>3</v>
      </c>
      <c r="G46" s="95">
        <f t="shared" si="0"/>
        <v>3</v>
      </c>
      <c r="H46" s="4">
        <v>1150</v>
      </c>
      <c r="I46" s="4">
        <v>552</v>
      </c>
    </row>
    <row r="47" spans="2:9" x14ac:dyDescent="0.3">
      <c r="B47" s="2">
        <v>659443</v>
      </c>
      <c r="C47" s="3">
        <v>41286</v>
      </c>
      <c r="D47" s="2" t="s">
        <v>28</v>
      </c>
      <c r="E47" s="2" t="s">
        <v>12</v>
      </c>
      <c r="F47" s="2">
        <v>10</v>
      </c>
      <c r="G47" s="95">
        <f t="shared" si="0"/>
        <v>10</v>
      </c>
      <c r="H47" s="4">
        <v>495</v>
      </c>
      <c r="I47" s="4">
        <v>237.6</v>
      </c>
    </row>
    <row r="48" spans="2:9" x14ac:dyDescent="0.3">
      <c r="B48" s="2">
        <v>659458</v>
      </c>
      <c r="C48" s="3">
        <v>41286</v>
      </c>
      <c r="D48" s="2" t="s">
        <v>6</v>
      </c>
      <c r="E48" s="2" t="s">
        <v>16</v>
      </c>
      <c r="F48" s="2">
        <v>5</v>
      </c>
      <c r="G48" s="95">
        <f t="shared" si="0"/>
        <v>5</v>
      </c>
      <c r="H48" s="4">
        <v>51.24</v>
      </c>
      <c r="I48" s="4">
        <v>27.16</v>
      </c>
    </row>
    <row r="49" spans="2:9" x14ac:dyDescent="0.3">
      <c r="B49" s="2">
        <v>659480</v>
      </c>
      <c r="C49" s="3">
        <v>41286</v>
      </c>
      <c r="D49" s="2" t="s">
        <v>6</v>
      </c>
      <c r="E49" s="2" t="s">
        <v>16</v>
      </c>
      <c r="F49" s="2">
        <v>4</v>
      </c>
      <c r="G49" s="95">
        <f t="shared" si="0"/>
        <v>4</v>
      </c>
      <c r="H49" s="4">
        <v>40.26</v>
      </c>
      <c r="I49" s="4">
        <v>21.33</v>
      </c>
    </row>
    <row r="50" spans="2:9" x14ac:dyDescent="0.3">
      <c r="B50" s="2">
        <v>659451</v>
      </c>
      <c r="C50" s="3">
        <v>41286</v>
      </c>
      <c r="D50" s="2" t="s">
        <v>28</v>
      </c>
      <c r="E50" s="2" t="s">
        <v>14</v>
      </c>
      <c r="F50" s="2">
        <v>3</v>
      </c>
      <c r="G50" s="95">
        <f t="shared" si="0"/>
        <v>3</v>
      </c>
      <c r="H50" s="4">
        <v>60.6</v>
      </c>
      <c r="I50" s="4">
        <v>28.5</v>
      </c>
    </row>
    <row r="51" spans="2:9" x14ac:dyDescent="0.3">
      <c r="B51" s="2">
        <v>659472</v>
      </c>
      <c r="C51" s="3">
        <v>41286</v>
      </c>
      <c r="D51" s="2" t="s">
        <v>28</v>
      </c>
      <c r="E51" s="2" t="s">
        <v>11</v>
      </c>
      <c r="F51" s="2">
        <v>2</v>
      </c>
      <c r="G51" s="95">
        <f t="shared" si="0"/>
        <v>2</v>
      </c>
      <c r="H51" s="4">
        <v>2394</v>
      </c>
      <c r="I51" s="4">
        <v>1292.76</v>
      </c>
    </row>
    <row r="52" spans="2:9" x14ac:dyDescent="0.3">
      <c r="B52" s="2">
        <v>659455</v>
      </c>
      <c r="C52" s="3">
        <v>41287</v>
      </c>
      <c r="D52" s="2" t="s">
        <v>6</v>
      </c>
      <c r="E52" s="2" t="s">
        <v>16</v>
      </c>
      <c r="F52" s="2">
        <v>5</v>
      </c>
      <c r="G52" s="95">
        <f t="shared" si="0"/>
        <v>5</v>
      </c>
      <c r="H52" s="4">
        <v>207.36</v>
      </c>
      <c r="I52" s="4">
        <v>107.82</v>
      </c>
    </row>
    <row r="53" spans="2:9" x14ac:dyDescent="0.3">
      <c r="B53" s="2">
        <v>659451</v>
      </c>
      <c r="C53" s="3">
        <v>41287</v>
      </c>
      <c r="D53" s="2" t="s">
        <v>6</v>
      </c>
      <c r="E53" s="2" t="s">
        <v>17</v>
      </c>
      <c r="F53" s="2">
        <v>2</v>
      </c>
      <c r="G53" s="95">
        <f t="shared" si="0"/>
        <v>2</v>
      </c>
      <c r="H53" s="4">
        <v>1316.7</v>
      </c>
      <c r="I53" s="4">
        <v>618.84</v>
      </c>
    </row>
    <row r="54" spans="2:9" x14ac:dyDescent="0.3">
      <c r="B54" s="2">
        <v>659457</v>
      </c>
      <c r="C54" s="3">
        <v>41288</v>
      </c>
      <c r="D54" s="2" t="s">
        <v>6</v>
      </c>
      <c r="E54" s="2" t="s">
        <v>16</v>
      </c>
      <c r="F54" s="2">
        <v>3</v>
      </c>
      <c r="G54" s="95">
        <f t="shared" si="0"/>
        <v>3</v>
      </c>
      <c r="H54" s="4">
        <v>183</v>
      </c>
      <c r="I54" s="4">
        <v>95.2</v>
      </c>
    </row>
  </sheetData>
  <sheetProtection algorithmName="SHA-512" hashValue="Tnqs4RHqtZHMvc6XwJKKs+VoMmvuF803OE9SqVlAJV6Tkct6V0wTS4qTdpXXBuAUYhm3fcxmT5Q2pQ2/dSqPmQ==" saltValue="mrUJUlHPyOcVi74U/nVuDA==" spinCount="100000" sheet="1" objects="1" scenarios="1" selectLockedCells="1" selectUnlockedCells="1"/>
  <mergeCells count="2">
    <mergeCell ref="B1:K2"/>
    <mergeCell ref="G3:J3"/>
  </mergeCells>
  <conditionalFormatting sqref="B8:B54">
    <cfRule type="duplicateValues" dxfId="4" priority="4"/>
  </conditionalFormatting>
  <conditionalFormatting sqref="C8:C54">
    <cfRule type="uniqueValues" dxfId="3" priority="3"/>
  </conditionalFormatting>
  <conditionalFormatting sqref="D8:D54">
    <cfRule type="expression" dxfId="2" priority="6">
      <formula>$D8=$B$4</formula>
    </cfRule>
  </conditionalFormatting>
  <conditionalFormatting sqref="E8:E54">
    <cfRule type="expression" dxfId="1" priority="5">
      <formula>$E8=$C$4</formula>
    </cfRule>
  </conditionalFormatting>
  <conditionalFormatting sqref="G8:G54">
    <cfRule type="iconSet" priority="7">
      <iconSet iconSet="3Symbols" showValue="0">
        <cfvo type="percent" val="0"/>
        <cfvo type="num" val="4"/>
        <cfvo type="num" val="7"/>
      </iconSet>
    </cfRule>
  </conditionalFormatting>
  <conditionalFormatting sqref="H8:H54">
    <cfRule type="aboveAverage" dxfId="0" priority="2" aboveAverage="0"/>
  </conditionalFormatting>
  <conditionalFormatting sqref="I8:I5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{3C8C33E3-2AA2-4938-8E9C-5D3D5F26AF1C}</x14:id>
        </ext>
      </extLst>
    </cfRule>
  </conditionalFormatting>
  <dataValidations count="2">
    <dataValidation type="list" allowBlank="1" showInputMessage="1" showErrorMessage="1" sqref="C4" xr:uid="{19F3D1D4-E73E-4452-B600-258EA687DB42}">
      <formula1>$E$8:$E$54</formula1>
    </dataValidation>
    <dataValidation type="list" allowBlank="1" showInputMessage="1" showErrorMessage="1" sqref="B4" xr:uid="{D781308C-DAC3-4F8E-A913-4BCC63268517}">
      <formula1>$D$8:$D$54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8C33E3-2AA2-4938-8E9C-5D3D5F26AF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I8:I54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Ex 1 </vt:lpstr>
      <vt:lpstr>Ans 1</vt:lpstr>
      <vt:lpstr>Ex 2</vt:lpstr>
      <vt:lpstr>Ans 2</vt:lpstr>
      <vt:lpstr>Ex 3</vt:lpstr>
      <vt:lpstr>Ans 3</vt:lpstr>
      <vt:lpstr>Ex 4  </vt:lpstr>
      <vt:lpstr>Ans 4</vt:lpstr>
      <vt:lpstr>Ex 5</vt:lpstr>
      <vt:lpstr>Ans 5</vt:lpstr>
      <vt:lpstr>Ex 6 </vt:lpstr>
      <vt:lpstr>Ans 6</vt:lpstr>
      <vt:lpstr>Ex 7</vt:lpstr>
      <vt:lpstr>Ans 7 </vt:lpstr>
      <vt:lpstr>Ex 8 </vt:lpstr>
      <vt:lpstr>Ans 8 </vt:lpstr>
      <vt:lpstr>Ex 9</vt:lpstr>
      <vt:lpstr>Ans 9</vt:lpstr>
      <vt:lpstr>Ex 10</vt:lpstr>
      <vt:lpstr>Ans 10</vt:lpstr>
      <vt:lpstr>Ex 11</vt:lpstr>
      <vt:lpstr>Ans 11</vt:lpstr>
      <vt:lpstr>Ex 12</vt:lpstr>
      <vt:lpstr>Ans 12</vt:lpstr>
      <vt:lpstr>Ex 13</vt:lpstr>
      <vt:lpstr>Ans 13</vt:lpstr>
      <vt:lpstr>Ex 14</vt:lpstr>
      <vt:lpstr>Refrence Sheet 14</vt:lpstr>
      <vt:lpstr>Ans 14</vt:lpstr>
      <vt:lpstr>Ex 15</vt:lpstr>
      <vt:lpstr>Ans 15</vt:lpstr>
    </vt:vector>
  </TitlesOfParts>
  <Company>Highline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Priyanshu verma</cp:lastModifiedBy>
  <cp:lastPrinted>2013-11-27T01:47:15Z</cp:lastPrinted>
  <dcterms:created xsi:type="dcterms:W3CDTF">2013-11-25T23:59:46Z</dcterms:created>
  <dcterms:modified xsi:type="dcterms:W3CDTF">2025-08-15T08:20:54Z</dcterms:modified>
</cp:coreProperties>
</file>